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Science\Credit Analyst Project\"/>
    </mc:Choice>
  </mc:AlternateContent>
  <xr:revisionPtr revIDLastSave="0" documentId="13_ncr:1_{BEBB37E1-8906-4AA4-9858-17330243DBB2}" xr6:coauthVersionLast="47" xr6:coauthVersionMax="47" xr10:uidLastSave="{00000000-0000-0000-0000-000000000000}"/>
  <bookViews>
    <workbookView xWindow="-110" yWindow="-110" windowWidth="19420" windowHeight="10420" tabRatio="745" activeTab="5" xr2:uid="{00000000-000D-0000-FFFF-FFFF00000000}"/>
  </bookViews>
  <sheets>
    <sheet name="Business Problem" sheetId="1" r:id="rId1"/>
    <sheet name="Loan Book" sheetId="2" r:id="rId2"/>
    <sheet name="Portfolio Summary" sheetId="4" r:id="rId3"/>
    <sheet name="Officer Performance" sheetId="5" r:id="rId4"/>
    <sheet name="Executive Summary" sheetId="3" r:id="rId5"/>
    <sheet name="Charts &amp; Visuals" sheetId="6" r:id="rId6"/>
  </sheets>
  <definedNames>
    <definedName name="_xlnm._FilterDatabase" localSheetId="1" hidden="1">'Loan Book'!$A$1:$R$51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5" l="1"/>
  <c r="E5" i="5"/>
  <c r="G5" i="5" s="1" a="1"/>
  <c r="G5" i="5" s="1"/>
  <c r="H5" i="5" s="1"/>
  <c r="D5" i="5"/>
  <c r="D28" i="4"/>
  <c r="D24" i="4" a="1"/>
  <c r="D24" i="4" s="1"/>
  <c r="D18" i="4"/>
  <c r="C18" i="4"/>
  <c r="H8" i="4"/>
  <c r="I6" i="4"/>
  <c r="D6" i="4"/>
  <c r="C6" i="4"/>
  <c r="D37" i="6" a="1"/>
  <c r="D37" i="6" s="1"/>
  <c r="C13" i="3"/>
  <c r="F5" i="6" s="1"/>
  <c r="C5" i="3"/>
  <c r="B5" i="6" s="1"/>
  <c r="D21" i="6"/>
  <c r="C14" i="3"/>
  <c r="D42" i="6"/>
  <c r="D38" i="6"/>
  <c r="D41" i="6"/>
  <c r="D36" i="6"/>
  <c r="D40" i="6"/>
  <c r="D43" i="6"/>
  <c r="D39" i="6"/>
  <c r="D32" i="6"/>
  <c r="D31" i="6"/>
  <c r="D30" i="6"/>
  <c r="D29" i="6"/>
  <c r="D28" i="6"/>
  <c r="D24" i="6"/>
  <c r="D19" i="6"/>
  <c r="D23" i="6"/>
  <c r="D17" i="6"/>
  <c r="D22" i="6"/>
  <c r="D20" i="6"/>
  <c r="D18" i="6"/>
  <c r="D10" i="6"/>
  <c r="D12" i="6"/>
  <c r="D11" i="6"/>
  <c r="D13" i="6"/>
  <c r="G13" i="5"/>
  <c r="F12" i="5"/>
  <c r="E12" i="5"/>
  <c r="G12" i="5" s="1"/>
  <c r="H12" i="5" s="1"/>
  <c r="D12" i="5"/>
  <c r="C12" i="5"/>
  <c r="F11" i="5"/>
  <c r="E11" i="5"/>
  <c r="G11" i="5" s="1"/>
  <c r="H11" i="5" s="1"/>
  <c r="D11" i="5"/>
  <c r="C11" i="5"/>
  <c r="F10" i="5"/>
  <c r="E10" i="5"/>
  <c r="G10" i="5" s="1"/>
  <c r="H10" i="5" s="1"/>
  <c r="D10" i="5"/>
  <c r="C10" i="5"/>
  <c r="F9" i="5"/>
  <c r="E9" i="5"/>
  <c r="G9" i="5" s="1"/>
  <c r="H9" i="5" s="1"/>
  <c r="D9" i="5"/>
  <c r="C9" i="5"/>
  <c r="G8" i="5"/>
  <c r="H8" i="5" s="1"/>
  <c r="F8" i="5"/>
  <c r="E8" i="5"/>
  <c r="D8" i="5"/>
  <c r="C8" i="5"/>
  <c r="F7" i="5"/>
  <c r="E7" i="5"/>
  <c r="G7" i="5" s="1"/>
  <c r="H7" i="5" s="1"/>
  <c r="D7" i="5"/>
  <c r="C7" i="5"/>
  <c r="F6" i="5"/>
  <c r="E6" i="5"/>
  <c r="G6" i="5" s="1"/>
  <c r="H6" i="5" s="1"/>
  <c r="D6" i="5"/>
  <c r="C6" i="5"/>
  <c r="C5" i="5"/>
  <c r="D29" i="4"/>
  <c r="D27" i="4"/>
  <c r="D26" i="4"/>
  <c r="D25" i="4"/>
  <c r="D21" i="4"/>
  <c r="C21" i="4"/>
  <c r="D20" i="4"/>
  <c r="C20" i="4"/>
  <c r="I19" i="4"/>
  <c r="H19" i="4"/>
  <c r="D19" i="4"/>
  <c r="C19" i="4"/>
  <c r="I18" i="4"/>
  <c r="H18" i="4"/>
  <c r="I17" i="4"/>
  <c r="H17" i="4"/>
  <c r="I16" i="4"/>
  <c r="H16" i="4"/>
  <c r="I15" i="4"/>
  <c r="H15" i="4"/>
  <c r="D13" i="4"/>
  <c r="C13" i="4"/>
  <c r="D12" i="4"/>
  <c r="C12" i="4"/>
  <c r="D11" i="4"/>
  <c r="C11" i="4"/>
  <c r="I10" i="4"/>
  <c r="H10" i="4"/>
  <c r="D10" i="4"/>
  <c r="C10" i="4"/>
  <c r="I9" i="4"/>
  <c r="H9" i="4"/>
  <c r="D9" i="4"/>
  <c r="C9" i="4"/>
  <c r="I8" i="4"/>
  <c r="D8" i="4"/>
  <c r="C8" i="4"/>
  <c r="I7" i="4"/>
  <c r="H7" i="4"/>
  <c r="D7" i="4"/>
  <c r="C7" i="4"/>
  <c r="H6" i="4"/>
  <c r="C16" i="3"/>
  <c r="C15" i="3"/>
  <c r="C12" i="3"/>
  <c r="C11" i="3"/>
  <c r="C10" i="3"/>
  <c r="C9" i="3"/>
  <c r="C8" i="3"/>
  <c r="C7" i="3"/>
  <c r="C6" i="3"/>
  <c r="D5" i="6" s="1"/>
  <c r="J8" i="4" l="1"/>
  <c r="C14" i="4"/>
  <c r="E6" i="4"/>
  <c r="Y5" i="6"/>
  <c r="C13" i="5"/>
  <c r="L5" i="6"/>
  <c r="T5" i="6"/>
  <c r="J10" i="4"/>
  <c r="E18" i="4"/>
  <c r="E19" i="4"/>
  <c r="E11" i="4"/>
  <c r="E13" i="4"/>
  <c r="J9" i="4"/>
  <c r="E21" i="4"/>
  <c r="E10" i="4"/>
  <c r="E7" i="4"/>
  <c r="H20" i="4"/>
  <c r="E20" i="4"/>
  <c r="F13" i="5"/>
  <c r="I11" i="4"/>
  <c r="H11" i="4"/>
  <c r="E8" i="4"/>
  <c r="E9" i="4"/>
  <c r="E12" i="4"/>
  <c r="I20" i="4"/>
  <c r="J18" i="4"/>
  <c r="D13" i="5"/>
  <c r="J16" i="4"/>
  <c r="J7" i="4"/>
  <c r="D14" i="4"/>
  <c r="J15" i="4"/>
  <c r="E13" i="5"/>
  <c r="J6" i="4"/>
  <c r="J17" i="4"/>
  <c r="J19" i="4"/>
  <c r="E14" i="4" l="1"/>
  <c r="J20" i="4"/>
  <c r="J1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<sst xmlns="http://schemas.openxmlformats.org/spreadsheetml/2006/main" count="749" uniqueCount="380">
  <si>
    <t>LOAN PORTFOLIO ANALYTICS — BUSINESS PROBLEM STATEMENT</t>
  </si>
  <si>
    <t>Prepared by: Benard Musyoka Mwinzi  |  benadata.github.io  |  Nairobi, Kenya</t>
  </si>
  <si>
    <t>CONTEXT</t>
  </si>
  <si>
    <t>Microfinance institutions (MFIs) in Kenya disburse thousands of loans annually to smallholder farmers, traders, and micro-entrepreneurs across all 47 counties. Despite strong disbursement volumes, many MFIs lack real-time visibility into portfolio health — resulting in reactive rather than proactive credit risk management.</t>
  </si>
  <si>
    <t>BUSINESS PROBLEM</t>
  </si>
  <si>
    <t>OBJECTIVE</t>
  </si>
  <si>
    <t>This dashboard was designed to solve those gaps by providing:
  • A structured loan book with 50 loan records across 8 Kenyan counties and 8 sectors.
  • Automated KPI cards: Gross Portfolio, Outstanding Balance, PAR &gt; 30 Days, Active/Delinquent counts.
  • Sector, county, risk grade, and PAR aging breakdowns — all driven by live Excel formulae.
  • Loan Officer performance scorecard with PAR rate and performance flags.
  • Visual charts for stakeholder presentations and board reporting.</t>
  </si>
  <si>
    <t>ANALYTICAL APPROACH</t>
  </si>
  <si>
    <t>The project follows a structured credit analysis methodology:
  Step 1 — Data Architecture: Design a normalized loan book with realistic Kenyan microfinance data.
  Step 2 — KPI Framework: Define industry-standard metrics (PAR30, PAR90, Write-Off Rate, Yield).
  Step 3 — Segmentation Analysis: Break down portfolio by sector, geography, risk grade, and officer.
  Step 4 — PAR Aging: Classify all delinquent loans into regulatory aging buckets (0/1-30/31-60/61-90/&gt;90).
  Step 5 — Visualization: Present findings through charts suitable for credit committee reporting.</t>
  </si>
  <si>
    <t>EXPECTED OUTCOME</t>
  </si>
  <si>
    <t>Credit managers using this dashboard can:
  • Reduce NPL ratios by flagging delinquency trends before they breach provisioning thresholds.
  • Reallocate loan officer portfolios based on PAR performance data.
  • Make sector concentration decisions informed by outstanding balance distribution.
  • Submit accurate CBK portfolio quality reports with minimal manual effort.
  • Present board-ready visuals without requiring additional BI tools.</t>
  </si>
  <si>
    <t>Loan ID</t>
  </si>
  <si>
    <t>Borrower Name</t>
  </si>
  <si>
    <t>County</t>
  </si>
  <si>
    <t>Sector</t>
  </si>
  <si>
    <t>Product Type</t>
  </si>
  <si>
    <t>Loan Amount
(KES)</t>
  </si>
  <si>
    <t>Disbursement
Date</t>
  </si>
  <si>
    <t>Maturity
Date</t>
  </si>
  <si>
    <t>Tenor
(Months)</t>
  </si>
  <si>
    <t>Interest
Rate (%)</t>
  </si>
  <si>
    <t>Monthly
Installment (KES)</t>
  </si>
  <si>
    <t>Outstanding
Balance (KES)</t>
  </si>
  <si>
    <t>Days Past
Due</t>
  </si>
  <si>
    <t>Status</t>
  </si>
  <si>
    <t>Risk
Grade</t>
  </si>
  <si>
    <t>Loan Officer</t>
  </si>
  <si>
    <t>Collateral
Type</t>
  </si>
  <si>
    <t>Collateral
Value (KES)</t>
  </si>
  <si>
    <t>LN-2023-1001</t>
  </si>
  <si>
    <t>Florence Odhiambo</t>
  </si>
  <si>
    <t>Nairobi</t>
  </si>
  <si>
    <t>Agriculture</t>
  </si>
  <si>
    <t>Business Loan</t>
  </si>
  <si>
    <t>21-Aug-2023</t>
  </si>
  <si>
    <t>17-Feb-2024</t>
  </si>
  <si>
    <t>Closed</t>
  </si>
  <si>
    <t>C</t>
  </si>
  <si>
    <t>J. Kariuki</t>
  </si>
  <si>
    <t>Land Title</t>
  </si>
  <si>
    <t>LN-2023-1002</t>
  </si>
  <si>
    <t>Josephine Chelimo</t>
  </si>
  <si>
    <t>Mombasa</t>
  </si>
  <si>
    <t>Trade &amp; Commerce</t>
  </si>
  <si>
    <t>Emergency Loan</t>
  </si>
  <si>
    <t>12-May-2024</t>
  </si>
  <si>
    <t>27-Apr-2027</t>
  </si>
  <si>
    <t>B</t>
  </si>
  <si>
    <t>M. Otieno</t>
  </si>
  <si>
    <t>Logbook</t>
  </si>
  <si>
    <t>LN-2023-1003</t>
  </si>
  <si>
    <t>Agnes Kiptoo</t>
  </si>
  <si>
    <t>Kisumu</t>
  </si>
  <si>
    <t>Manufacturing</t>
  </si>
  <si>
    <t>Asset Finance</t>
  </si>
  <si>
    <t>21-Mar-2024</t>
  </si>
  <si>
    <t>12-Sep-2025</t>
  </si>
  <si>
    <t>Active</t>
  </si>
  <si>
    <t>A. Wanjiku</t>
  </si>
  <si>
    <t>Shares</t>
  </si>
  <si>
    <t>LN-2023-1004</t>
  </si>
  <si>
    <t>Helen Owino</t>
  </si>
  <si>
    <t>Nakuru</t>
  </si>
  <si>
    <t>Education</t>
  </si>
  <si>
    <t>Group Loan</t>
  </si>
  <si>
    <t>26-Jan-2024</t>
  </si>
  <si>
    <t>20-Jan-2025</t>
  </si>
  <si>
    <t>P. Kimani</t>
  </si>
  <si>
    <t>Salary Undertaking</t>
  </si>
  <si>
    <t>LN-2023-1005</t>
  </si>
  <si>
    <t>David Kipchoge</t>
  </si>
  <si>
    <t>Eldoret</t>
  </si>
  <si>
    <t>Health</t>
  </si>
  <si>
    <t>Agricultural Loan</t>
  </si>
  <si>
    <t>03-Nov-2023</t>
  </si>
  <si>
    <t>26-Apr-2025</t>
  </si>
  <si>
    <t>S. Mutua</t>
  </si>
  <si>
    <t>Group Guarantee</t>
  </si>
  <si>
    <t>LN-2023-1006</t>
  </si>
  <si>
    <t>Eunice Nduta</t>
  </si>
  <si>
    <t>Machakos</t>
  </si>
  <si>
    <t>Real Estate</t>
  </si>
  <si>
    <t>03-May-2023</t>
  </si>
  <si>
    <t>30-Oct-2023</t>
  </si>
  <si>
    <t>Delinquent</t>
  </si>
  <si>
    <t>L. Odhiambo</t>
  </si>
  <si>
    <t>Machinery</t>
  </si>
  <si>
    <t>LN-2023-1007</t>
  </si>
  <si>
    <t>James Gitau</t>
  </si>
  <si>
    <t>Nyeri</t>
  </si>
  <si>
    <t>Transport</t>
  </si>
  <si>
    <t>22-Feb-2024</t>
  </si>
  <si>
    <t>20-Aug-2024</t>
  </si>
  <si>
    <t>A</t>
  </si>
  <si>
    <t>R. Njenga</t>
  </si>
  <si>
    <t>None</t>
  </si>
  <si>
    <t>LN-2023-1008</t>
  </si>
  <si>
    <t>Beatrice Chebet</t>
  </si>
  <si>
    <t>Meru</t>
  </si>
  <si>
    <t>Personal</t>
  </si>
  <si>
    <t>01-Sep-2023</t>
  </si>
  <si>
    <t>16-Aug-2026</t>
  </si>
  <si>
    <t>T. Chelimo</t>
  </si>
  <si>
    <t>LN-2023-1009</t>
  </si>
  <si>
    <t>Esther Makena</t>
  </si>
  <si>
    <t>20-Apr-2024</t>
  </si>
  <si>
    <t>05-Apr-2027</t>
  </si>
  <si>
    <t>LN-2023-1010</t>
  </si>
  <si>
    <t>Stephen Mburu</t>
  </si>
  <si>
    <t>10-Dec-2023</t>
  </si>
  <si>
    <t>02-Jun-2025</t>
  </si>
  <si>
    <t>LN-2023-1011</t>
  </si>
  <si>
    <t>Priscilla Nyambura</t>
  </si>
  <si>
    <t>02-Feb-2023</t>
  </si>
  <si>
    <t>26-Jul-2024</t>
  </si>
  <si>
    <t>LN-2023-1012</t>
  </si>
  <si>
    <t>Caroline Adhiambo</t>
  </si>
  <si>
    <t>29-Dec-2023</t>
  </si>
  <si>
    <t>26-Jun-2024</t>
  </si>
  <si>
    <t>LN-2023-1013</t>
  </si>
  <si>
    <t>Michael Ndung'u</t>
  </si>
  <si>
    <t>21-Sep-2023</t>
  </si>
  <si>
    <t>15-Sep-2024</t>
  </si>
  <si>
    <t>D</t>
  </si>
  <si>
    <t>LN-2023-1014</t>
  </si>
  <si>
    <t>Fatuma Omar</t>
  </si>
  <si>
    <t>09-Mar-2023</t>
  </si>
  <si>
    <t>21-Feb-2026</t>
  </si>
  <si>
    <t>LN-2023-1015</t>
  </si>
  <si>
    <t>Ruth Muinde</t>
  </si>
  <si>
    <t>18-Feb-2023</t>
  </si>
  <si>
    <t>17-Aug-2023</t>
  </si>
  <si>
    <t>LN-2023-1016</t>
  </si>
  <si>
    <t>Collins Njoroge</t>
  </si>
  <si>
    <t>11-Dec-2023</t>
  </si>
  <si>
    <t>08-Jun-2024</t>
  </si>
  <si>
    <t>LN-2023-1017</t>
  </si>
  <si>
    <t>Francis Kariuki</t>
  </si>
  <si>
    <t>08-May-2023</t>
  </si>
  <si>
    <t>02-May-2024</t>
  </si>
  <si>
    <t>Written Off</t>
  </si>
  <si>
    <t>LN-2023-1018</t>
  </si>
  <si>
    <t>Paul Mutisya</t>
  </si>
  <si>
    <t>04-Nov-2023</t>
  </si>
  <si>
    <t>LN-2023-1019</t>
  </si>
  <si>
    <t>Tabitha Njoki</t>
  </si>
  <si>
    <t>30-Nov-2023</t>
  </si>
  <si>
    <t>14-Nov-2026</t>
  </si>
  <si>
    <t>E</t>
  </si>
  <si>
    <t>LN-2023-1020</t>
  </si>
  <si>
    <t>Peter Kamau</t>
  </si>
  <si>
    <t>28-Jul-2023</t>
  </si>
  <si>
    <t>17-Jul-2025</t>
  </si>
  <si>
    <t>LN-2023-1021</t>
  </si>
  <si>
    <t>Violet Anyango</t>
  </si>
  <si>
    <t>26-Mar-2023</t>
  </si>
  <si>
    <t>15-Mar-2025</t>
  </si>
  <si>
    <t>LN-2023-1022</t>
  </si>
  <si>
    <t>Patrick Kimani</t>
  </si>
  <si>
    <t>27-May-2023</t>
  </si>
  <si>
    <t>16-May-2025</t>
  </si>
  <si>
    <t>LN-2023-1023</t>
  </si>
  <si>
    <t>Susan Wangari</t>
  </si>
  <si>
    <t>03-Jan-2024</t>
  </si>
  <si>
    <t>23-Dec-2025</t>
  </si>
  <si>
    <t>LN-2023-1024</t>
  </si>
  <si>
    <t>Dennis Githinji</t>
  </si>
  <si>
    <t>01-Feb-2023</t>
  </si>
  <si>
    <t>25-Jul-2024</t>
  </si>
  <si>
    <t>LN-2023-1025</t>
  </si>
  <si>
    <t>Gladys Munyao</t>
  </si>
  <si>
    <t>22-Mar-2023</t>
  </si>
  <si>
    <t>18-Sep-2023</t>
  </si>
  <si>
    <t>LN-2023-1026</t>
  </si>
  <si>
    <t>Vincent Ochieng</t>
  </si>
  <si>
    <t>12-Dec-2023</t>
  </si>
  <si>
    <t>06-Dec-2024</t>
  </si>
  <si>
    <t>LN-2023-1027</t>
  </si>
  <si>
    <t>Alex Rotich</t>
  </si>
  <si>
    <t>11-Feb-2023</t>
  </si>
  <si>
    <t>31-Jan-2025</t>
  </si>
  <si>
    <t>LN-2023-1028</t>
  </si>
  <si>
    <t>George Maina</t>
  </si>
  <si>
    <t>15-Apr-2023</t>
  </si>
  <si>
    <t>06-Oct-2024</t>
  </si>
  <si>
    <t>LN-2023-1029</t>
  </si>
  <si>
    <t>Eric Njenga</t>
  </si>
  <si>
    <t>11-Jun-2023</t>
  </si>
  <si>
    <t>08-Dec-2023</t>
  </si>
  <si>
    <t>LN-2023-1030</t>
  </si>
  <si>
    <t>Edwin Wafula</t>
  </si>
  <si>
    <t>07-Feb-2023</t>
  </si>
  <si>
    <t>22-Jan-2026</t>
  </si>
  <si>
    <t>LN-2023-1031</t>
  </si>
  <si>
    <t>Bernard Koech</t>
  </si>
  <si>
    <t>26-Mar-2024</t>
  </si>
  <si>
    <t>21-Mar-2025</t>
  </si>
  <si>
    <t>LN-2023-1032</t>
  </si>
  <si>
    <t>Geoffrey Kiptanui</t>
  </si>
  <si>
    <t>10-Nov-2023</t>
  </si>
  <si>
    <t>25-Oct-2026</t>
  </si>
  <si>
    <t>LN-2023-1033</t>
  </si>
  <si>
    <t>Timothy Barasa</t>
  </si>
  <si>
    <t>16-May-2023</t>
  </si>
  <si>
    <t>12-Nov-2023</t>
  </si>
  <si>
    <t>LN-2023-1034</t>
  </si>
  <si>
    <t>Kelvin Nzioki</t>
  </si>
  <si>
    <t>06-Nov-2023</t>
  </si>
  <si>
    <t>31-Oct-2024</t>
  </si>
  <si>
    <t>LN-2023-1035</t>
  </si>
  <si>
    <t>Janet Korir</t>
  </si>
  <si>
    <t>12-Mar-2024</t>
  </si>
  <si>
    <t>03-Sep-2025</t>
  </si>
  <si>
    <t>LN-2023-1036</t>
  </si>
  <si>
    <t>Ann Mumbua</t>
  </si>
  <si>
    <t>21-Nov-2023</t>
  </si>
  <si>
    <t>10-Nov-2025</t>
  </si>
  <si>
    <t>LN-2023-1037</t>
  </si>
  <si>
    <t>Millicent Ochieng</t>
  </si>
  <si>
    <t>30-Jan-2024</t>
  </si>
  <si>
    <t>24-Jan-2025</t>
  </si>
  <si>
    <t>LN-2023-1038</t>
  </si>
  <si>
    <t>John Mwangi</t>
  </si>
  <si>
    <t>28-Dec-2023</t>
  </si>
  <si>
    <t>17-Dec-2025</t>
  </si>
  <si>
    <t>LN-2023-1039</t>
  </si>
  <si>
    <t>Mercy Wekesa</t>
  </si>
  <si>
    <t>07-Oct-2023</t>
  </si>
  <si>
    <t>04-Apr-2024</t>
  </si>
  <si>
    <t>LN-2023-1040</t>
  </si>
  <si>
    <t>Lydia Auma</t>
  </si>
  <si>
    <t>22-Jan-2023</t>
  </si>
  <si>
    <t>15-Jul-2024</t>
  </si>
  <si>
    <t>LN-2023-1041</t>
  </si>
  <si>
    <t>Mary Wanjiku</t>
  </si>
  <si>
    <t>05-Apr-2024</t>
  </si>
  <si>
    <t>27-Sep-2025</t>
  </si>
  <si>
    <t>LN-2023-1042</t>
  </si>
  <si>
    <t>Daniel Cheruiyot</t>
  </si>
  <si>
    <t>01-Jul-2023</t>
  </si>
  <si>
    <t>15-Jun-2026</t>
  </si>
  <si>
    <t>LN-2023-1043</t>
  </si>
  <si>
    <t>Samuel Otieno</t>
  </si>
  <si>
    <t>18-Mar-2024</t>
  </si>
  <si>
    <t>13-Mar-2025</t>
  </si>
  <si>
    <t>LN-2023-1044</t>
  </si>
  <si>
    <t>Charles Njeru</t>
  </si>
  <si>
    <t>13-Jan-2023</t>
  </si>
  <si>
    <t>08-Jan-2024</t>
  </si>
  <si>
    <t>LN-2023-1045</t>
  </si>
  <si>
    <t>Robert Ouma</t>
  </si>
  <si>
    <t>15-Feb-2024</t>
  </si>
  <si>
    <t>09-Feb-2025</t>
  </si>
  <si>
    <t>LN-2023-1046</t>
  </si>
  <si>
    <t>Diana Waweru</t>
  </si>
  <si>
    <t>15-Mar-2024</t>
  </si>
  <si>
    <t>05-Mar-2026</t>
  </si>
  <si>
    <t>LN-2023-1047</t>
  </si>
  <si>
    <t>Lilian Achieng</t>
  </si>
  <si>
    <t>25-Apr-2023</t>
  </si>
  <si>
    <t>22-Oct-2023</t>
  </si>
  <si>
    <t>LN-2023-1048</t>
  </si>
  <si>
    <t>Grace Akinyi</t>
  </si>
  <si>
    <t>10-May-2024</t>
  </si>
  <si>
    <t>01-Nov-2025</t>
  </si>
  <si>
    <t>LN-2023-1049</t>
  </si>
  <si>
    <t>Alice Mutua</t>
  </si>
  <si>
    <t>19-Jun-2023</t>
  </si>
  <si>
    <t>16-Dec-2023</t>
  </si>
  <si>
    <t>LN-2023-1050</t>
  </si>
  <si>
    <t>Isaac Omondi</t>
  </si>
  <si>
    <t>20-Jan-2023</t>
  </si>
  <si>
    <t>19-Jul-2023</t>
  </si>
  <si>
    <t>EXECUTIVE SUMMARY — LOAN PORTFOLIO PERFORMANCE</t>
  </si>
  <si>
    <t>Reporting Period: FY 2023–2024  |  Portfolio Date: 31-Dec-2024  |  Currency: KES (Kenyan Shilling)</t>
  </si>
  <si>
    <t>KEY PERFORMANCE INDICATORS</t>
  </si>
  <si>
    <t>Total Loans in Portfolio</t>
  </si>
  <si>
    <t>Gross Loan Book (KES)</t>
  </si>
  <si>
    <t>Total Outstanding (KES)</t>
  </si>
  <si>
    <t>Active Loans</t>
  </si>
  <si>
    <t>Delinquent Loans</t>
  </si>
  <si>
    <t>Written Off Loans</t>
  </si>
  <si>
    <t>PAR &gt; 30 Days (%)</t>
  </si>
  <si>
    <t>Avg. Loan Size (KES)</t>
  </si>
  <si>
    <t>Avg. Interest Rate</t>
  </si>
  <si>
    <t>No. of Loan Officers</t>
  </si>
  <si>
    <t>No. of Counties Covered</t>
  </si>
  <si>
    <t>No. of Sectors</t>
  </si>
  <si>
    <t>▶  Portfolio Quality</t>
  </si>
  <si>
    <t>The portfolio recorded a PAR&gt;30 rate driven by 14 delinquent accounts. Four loans have been written off, signalling early-stage credit stress concentrated in the D and E risk-grade buckets. Prompt provisioning review is recommended for all loans with Days Past Due exceeding 60 days.</t>
  </si>
  <si>
    <t>▶  Sector Concentration</t>
  </si>
  <si>
    <t>Trade &amp; Commerce and Agriculture collectively represent the highest outstanding balances, consistent with typical Kenyan MFI portfolios. Real Estate and Manufacturing show lower loan counts but higher average ticket sizes, elevating single-obligor concentration risk in those segments.</t>
  </si>
  <si>
    <t>▶  Geographic Distribution</t>
  </si>
  <si>
    <t>Nairobi and Mombasa dominate the portfolio by volume, reflecting urban branch density. Machakos and Meru show emerging delinquency trends that warrant field-level credit review before further disbursements are approved in those counties.</t>
  </si>
  <si>
    <t>▶  Loan Officer Performance</t>
  </si>
  <si>
    <t>PAR rates vary significantly across the eight loan officers. Officers with PAR rates exceeding 10% have been flagged as 'Needs Improvement' or 'Critical' in the Officer Performance sheet. Management should review their client appraisal processes and consider supervised disbursements pending improvement.</t>
  </si>
  <si>
    <t>▶  Recommendations</t>
  </si>
  <si>
    <t>1. Implement a 90-day early warning trigger for all loans crossing the 30 DPD bucket.
2. Cap sector exposure to Trade &amp; Commerce at 30% of total outstanding.
3. Introduce bi-monthly portfolio review meetings for officers rated Critical.
4. Strengthen collateral documentation — 'None' collateral loans show disproportionate write-offs.
5. Expand coverage to Eldoret and Nyeri where low disbursement suggests untapped market.</t>
  </si>
  <si>
    <t>PORTFOLIO SUMMARY — SEGMENT ANALYSIS</t>
  </si>
  <si>
    <t>All figures in KES  |  Formulae auto-update when Loan Book data changes</t>
  </si>
  <si>
    <t xml:space="preserve">  TABLE A — Portfolio by Sector</t>
  </si>
  <si>
    <t xml:space="preserve">  TABLE C — Portfolio by Risk Grade</t>
  </si>
  <si>
    <t>No. of Loans</t>
  </si>
  <si>
    <t>Outstanding (KES)</t>
  </si>
  <si>
    <t>% of Portfolio</t>
  </si>
  <si>
    <t>Risk Grade</t>
  </si>
  <si>
    <t>Count</t>
  </si>
  <si>
    <t>TOTAL</t>
  </si>
  <si>
    <t xml:space="preserve">  TABLE D — PAR Aging Analysis</t>
  </si>
  <si>
    <t>Aging Bucket</t>
  </si>
  <si>
    <t>% of Total O/S</t>
  </si>
  <si>
    <t>Current (0 DPD)</t>
  </si>
  <si>
    <t xml:space="preserve">  TABLE B — Portfolio by County</t>
  </si>
  <si>
    <t>1 – 30 DPD</t>
  </si>
  <si>
    <t>31 – 60 DPD</t>
  </si>
  <si>
    <t>61 – 90 DPD</t>
  </si>
  <si>
    <t>&gt; 90 DPD</t>
  </si>
  <si>
    <t xml:space="preserve">  TABLE E — Portfolio KPI Scorecard</t>
  </si>
  <si>
    <t>KPI Metric</t>
  </si>
  <si>
    <t>Formula / Logic</t>
  </si>
  <si>
    <t>Value</t>
  </si>
  <si>
    <t>CBK Benchmark</t>
  </si>
  <si>
    <t>PAR &gt; 30 Days</t>
  </si>
  <si>
    <t>Outstanding DPD&gt;30 / Total Outstanding</t>
  </si>
  <si>
    <t>&lt; 5%</t>
  </si>
  <si>
    <t>PAR &gt; 90 Days</t>
  </si>
  <si>
    <t>Outstanding DPD&gt;90 / Total Outstanding</t>
  </si>
  <si>
    <t>&lt; 2%</t>
  </si>
  <si>
    <t>Write-Off Rate</t>
  </si>
  <si>
    <t>Written Off Loans / Total Loans</t>
  </si>
  <si>
    <t>Delinquency Rate</t>
  </si>
  <si>
    <t>Delinquent Loans / Total Loans</t>
  </si>
  <si>
    <t>&lt; 10%</t>
  </si>
  <si>
    <t>Portfolio Yield</t>
  </si>
  <si>
    <t>Avg. Interest Rate (weighted by loan amount)</t>
  </si>
  <si>
    <t>≥ 18%</t>
  </si>
  <si>
    <t>Repayment Rate</t>
  </si>
  <si>
    <t>Closed Loans / Total Loans</t>
  </si>
  <si>
    <t>&gt; 80%</t>
  </si>
  <si>
    <t>LOAN OFFICER PERFORMANCE SCORECARD</t>
  </si>
  <si>
    <t>PAR Rate = DPD&gt;30 Outstanding for Officer / Total Outstanding for Officer</t>
  </si>
  <si>
    <t xml:space="preserve">  OFFICER PERFORMANCE — ALL LOAN OFFICERS</t>
  </si>
  <si>
    <t>Loans
Disbursed</t>
  </si>
  <si>
    <t>Gross Portfolio
(KES)</t>
  </si>
  <si>
    <t>Outstanding
(KES)</t>
  </si>
  <si>
    <t>Delinquent
Loans</t>
  </si>
  <si>
    <t>PAR Rate
(%)</t>
  </si>
  <si>
    <t>Performance
Rating</t>
  </si>
  <si>
    <t>PORTFOLIO TOTAL</t>
  </si>
  <si>
    <t>PERFORMANCE RATING LEGEND</t>
  </si>
  <si>
    <t>Excellent</t>
  </si>
  <si>
    <t>PAR &lt; 5%</t>
  </si>
  <si>
    <t>Good</t>
  </si>
  <si>
    <t>PAR 5% – 9.9%</t>
  </si>
  <si>
    <t>Needs Improvement</t>
  </si>
  <si>
    <t>PAR 10% – 19.9%</t>
  </si>
  <si>
    <t>Critical</t>
  </si>
  <si>
    <t>PAR ≥ 20%</t>
  </si>
  <si>
    <t>DPD Bucket</t>
  </si>
  <si>
    <t>Current</t>
  </si>
  <si>
    <t>1-30 DPD</t>
  </si>
  <si>
    <t>31-60 DPD</t>
  </si>
  <si>
    <t>61-90 DPD</t>
  </si>
  <si>
    <t>&gt;90 DPD</t>
  </si>
  <si>
    <t>PAR Rate</t>
  </si>
  <si>
    <t>Number of Loans</t>
  </si>
  <si>
    <t>Loan Distribution by Status</t>
  </si>
  <si>
    <t>Outstanding Amount by Sector</t>
  </si>
  <si>
    <t>Outstanding Amount by DPD Bucket</t>
  </si>
  <si>
    <t>PAR Rate by Loan Officer</t>
  </si>
  <si>
    <t>CREDIT PORTFOLIO DASHBOARD</t>
  </si>
  <si>
    <t>LEAST SELLING OFFICER</t>
  </si>
  <si>
    <t>TOP LOAN OFFICER</t>
  </si>
  <si>
    <t>AVERAGE INTEREST RATE</t>
  </si>
  <si>
    <t>TOTAL AMOUNT</t>
  </si>
  <si>
    <t>NUMBER OF LOANS</t>
  </si>
  <si>
    <t>Without a structured portfolio monitoring system, credit managers cannot:
  1. Identify which loan officers or counties are generating disproportionate non-performing loans (NPLs).
  2. Track Portfolio-at-Risk (PAR) aging in real time, leading to delayed provisioning decisions.
  3. Assess sector concentration risk before it becomes systemic.
  4. Evaluate individual loan officer performance objectively.
  5. Produce regulatory-ready portfolio reports for the Central Bank of Kenya (CBK) and IRA Kenya.</t>
  </si>
  <si>
    <t>HIGHEST PAR OFFICER</t>
  </si>
  <si>
    <t>Prepared by Benard Musyoka Mwinzi |Credit Analyst | Data Analyst| Google Data Analytics Certificate | https://benadata.github.io/</t>
  </si>
  <si>
    <t>PORTFOLIO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</si>
</sst>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KES]\ #,##0"/>
  </numFmts>
  <fonts count="37" x14ac:knownFonts="1">
    <font>
      <sz val="11"/>
      <color theme="1"/>
      <name val="Calibri"/>
      <family val="2"/>
      <charset val="1"/>
    </font>
    <font>
      <sz val="10"/>
      <name val="Arial"/>
    </font>
    <font>
      <b/>
      <sz val="16"/>
      <color rgb="FFFFFFFF"/>
      <name val="Calibri"/>
      <charset val="1"/>
    </font>
    <font>
      <i/>
      <sz val="10"/>
      <color rgb="FFFFFFFF"/>
      <name val="Calibri"/>
      <charset val="1"/>
    </font>
    <font>
      <b/>
      <sz val="11"/>
      <color rgb="FFFFFFFF"/>
      <name val="Calibri"/>
      <charset val="1"/>
    </font>
    <font>
      <sz val="10"/>
      <color rgb="FF000000"/>
      <name val="Calibri"/>
      <charset val="1"/>
    </font>
    <font>
      <i/>
      <sz val="9"/>
      <color rgb="FF999999"/>
      <name val="Calibri"/>
      <charset val="1"/>
    </font>
    <font>
      <b/>
      <sz val="10"/>
      <color rgb="FFFFFFFF"/>
      <name val="Calibri"/>
      <charset val="1"/>
    </font>
    <font>
      <b/>
      <sz val="10"/>
      <color rgb="FF1E8449"/>
      <name val="Calibri"/>
      <charset val="1"/>
    </font>
    <font>
      <b/>
      <sz val="10"/>
      <color rgb="FFB7950B"/>
      <name val="Calibri"/>
      <charset val="1"/>
    </font>
    <font>
      <b/>
      <sz val="10"/>
      <color rgb="FFC0392B"/>
      <name val="Calibri"/>
      <charset val="1"/>
    </font>
    <font>
      <b/>
      <sz val="12"/>
      <color rgb="FFFFFFFF"/>
      <name val="Calibri"/>
      <charset val="1"/>
    </font>
    <font>
      <b/>
      <sz val="11"/>
      <color rgb="FF1F3864"/>
      <name val="Calibri"/>
      <charset val="1"/>
    </font>
    <font>
      <b/>
      <sz val="11"/>
      <color rgb="FF000000"/>
      <name val="Calibri"/>
      <charset val="1"/>
    </font>
    <font>
      <b/>
      <sz val="11"/>
      <color rgb="FF1E8449"/>
      <name val="Calibri"/>
      <charset val="1"/>
    </font>
    <font>
      <b/>
      <sz val="11"/>
      <color rgb="FFC0392B"/>
      <name val="Calibri"/>
      <charset val="1"/>
    </font>
    <font>
      <sz val="11"/>
      <color rgb="FF000000"/>
      <name val="Calibri"/>
      <charset val="1"/>
    </font>
    <font>
      <b/>
      <sz val="11"/>
      <color rgb="FF2E86C1"/>
      <name val="Calibri"/>
      <charset val="1"/>
    </font>
    <font>
      <b/>
      <sz val="11"/>
      <color rgb="FFB7950B"/>
      <name val="Calibri"/>
      <charset val="1"/>
    </font>
    <font>
      <b/>
      <sz val="11"/>
      <color rgb="FFE67E22"/>
      <name val="Calibri"/>
      <charset val="1"/>
    </font>
    <font>
      <sz val="11"/>
      <color rgb="FF1E8449"/>
      <name val="Calibri"/>
      <charset val="1"/>
    </font>
    <font>
      <b/>
      <sz val="11"/>
      <color rgb="FF2E5FA3"/>
      <name val="Calibri"/>
      <charset val="1"/>
    </font>
    <font>
      <sz val="11"/>
      <color rgb="FF2E5FA3"/>
      <name val="Calibri"/>
      <charset val="1"/>
    </font>
    <font>
      <sz val="11"/>
      <color rgb="FFB7950B"/>
      <name val="Calibri"/>
      <charset val="1"/>
    </font>
    <font>
      <sz val="11"/>
      <color rgb="FFC0392B"/>
      <name val="Calibri"/>
      <charset val="1"/>
    </font>
    <font>
      <sz val="10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002060"/>
      <name val="Calibri"/>
      <family val="2"/>
    </font>
    <font>
      <sz val="11"/>
      <color rgb="FF000000"/>
      <name val="Calibri"/>
      <family val="2"/>
    </font>
    <font>
      <b/>
      <sz val="14"/>
      <color theme="9" tint="-0.499984740745262"/>
      <name val="Calibri"/>
      <family val="2"/>
    </font>
    <font>
      <b/>
      <sz val="18"/>
      <color theme="9" tint="-0.499984740745262"/>
      <name val="Arial"/>
      <family val="2"/>
    </font>
    <font>
      <b/>
      <sz val="11"/>
      <color rgb="FFFFFFFF"/>
      <name val="Calibri"/>
      <family val="2"/>
    </font>
    <font>
      <i/>
      <sz val="9"/>
      <color rgb="FF999999"/>
      <name val="Calibri"/>
      <family val="2"/>
    </font>
    <font>
      <b/>
      <sz val="24"/>
      <color theme="9" tint="-0.499984740745262"/>
      <name val="Calibri"/>
      <family val="2"/>
    </font>
    <font>
      <b/>
      <sz val="18"/>
      <color theme="9" tint="-0.499984740745262"/>
      <name val="Calibri"/>
      <family val="2"/>
    </font>
    <font>
      <b/>
      <sz val="16"/>
      <color rgb="FFFFFFFF"/>
      <name val="Calibri"/>
      <family val="2"/>
    </font>
    <font>
      <i/>
      <sz val="14"/>
      <color rgb="FFFFFF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2E86C1"/>
      </patternFill>
    </fill>
    <fill>
      <patternFill patternType="solid">
        <fgColor rgb="FFF5F5F5"/>
        <bgColor rgb="FFF9F9F9"/>
      </patternFill>
    </fill>
    <fill>
      <patternFill patternType="solid">
        <fgColor rgb="FFC0392B"/>
        <bgColor rgb="FFC0504D"/>
      </patternFill>
    </fill>
    <fill>
      <patternFill patternType="solid">
        <fgColor rgb="FF1E8449"/>
        <bgColor rgb="FF117A65"/>
      </patternFill>
    </fill>
    <fill>
      <patternFill patternType="solid">
        <fgColor rgb="FF117A65"/>
        <bgColor rgb="FF1E8449"/>
      </patternFill>
    </fill>
    <fill>
      <patternFill patternType="solid">
        <fgColor rgb="FFFFFFFF"/>
        <bgColor rgb="FFF9F9F9"/>
      </patternFill>
    </fill>
    <fill>
      <patternFill patternType="solid">
        <fgColor rgb="FFD5F5E3"/>
        <bgColor rgb="FFD6E4F0"/>
      </patternFill>
    </fill>
    <fill>
      <patternFill patternType="solid">
        <fgColor rgb="FFFEF9E7"/>
        <bgColor rgb="FFF9F9F9"/>
      </patternFill>
    </fill>
    <fill>
      <patternFill patternType="solid">
        <fgColor rgb="FFFADBD8"/>
        <bgColor rgb="FFD9D9D9"/>
      </patternFill>
    </fill>
    <fill>
      <patternFill patternType="solid">
        <fgColor rgb="FFD6E4F0"/>
        <bgColor rgb="FFD9D9D9"/>
      </patternFill>
    </fill>
    <fill>
      <patternFill patternType="solid">
        <fgColor rgb="FFB7950B"/>
        <bgColor rgb="FFE67E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2E86C1"/>
      </patternFill>
    </fill>
  </fills>
  <borders count="4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12">
    <xf numFmtId="0" fontId="0" fillId="0" borderId="0" xfId="0"/>
    <xf numFmtId="0" fontId="7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/>
    </xf>
    <xf numFmtId="3" fontId="5" fillId="4" borderId="2" xfId="0" applyNumberFormat="1" applyFont="1" applyFill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3" fontId="5" fillId="8" borderId="2" xfId="0" applyNumberFormat="1" applyFont="1" applyFill="1" applyBorder="1" applyAlignment="1">
      <alignment horizontal="right" vertical="center"/>
    </xf>
    <xf numFmtId="164" fontId="5" fillId="8" borderId="2" xfId="0" applyNumberFormat="1" applyFont="1" applyFill="1" applyBorder="1" applyAlignment="1">
      <alignment horizontal="right" vertical="center"/>
    </xf>
    <xf numFmtId="0" fontId="5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left" vertical="center"/>
    </xf>
    <xf numFmtId="3" fontId="13" fillId="12" borderId="3" xfId="0" applyNumberFormat="1" applyFont="1" applyFill="1" applyBorder="1" applyAlignment="1">
      <alignment horizontal="right" vertical="center"/>
    </xf>
    <xf numFmtId="0" fontId="12" fillId="8" borderId="2" xfId="0" applyFont="1" applyFill="1" applyBorder="1" applyAlignment="1">
      <alignment horizontal="left" vertical="center"/>
    </xf>
    <xf numFmtId="3" fontId="14" fillId="12" borderId="3" xfId="0" applyNumberFormat="1" applyFont="1" applyFill="1" applyBorder="1" applyAlignment="1">
      <alignment horizontal="right" vertical="center"/>
    </xf>
    <xf numFmtId="3" fontId="15" fillId="12" borderId="3" xfId="0" applyNumberFormat="1" applyFont="1" applyFill="1" applyBorder="1" applyAlignment="1">
      <alignment horizontal="right" vertical="center"/>
    </xf>
    <xf numFmtId="10" fontId="15" fillId="12" borderId="3" xfId="0" applyNumberFormat="1" applyFont="1" applyFill="1" applyBorder="1" applyAlignment="1">
      <alignment horizontal="right" vertical="center"/>
    </xf>
    <xf numFmtId="164" fontId="13" fillId="12" borderId="3" xfId="0" applyNumberFormat="1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left" vertical="center"/>
    </xf>
    <xf numFmtId="3" fontId="16" fillId="4" borderId="2" xfId="0" applyNumberFormat="1" applyFont="1" applyFill="1" applyBorder="1" applyAlignment="1">
      <alignment horizontal="right" vertical="center"/>
    </xf>
    <xf numFmtId="164" fontId="16" fillId="4" borderId="2" xfId="0" applyNumberFormat="1" applyFont="1" applyFill="1" applyBorder="1" applyAlignment="1">
      <alignment horizontal="right" vertical="center"/>
    </xf>
    <xf numFmtId="0" fontId="14" fillId="4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left" vertical="center"/>
    </xf>
    <xf numFmtId="3" fontId="16" fillId="8" borderId="2" xfId="0" applyNumberFormat="1" applyFont="1" applyFill="1" applyBorder="1" applyAlignment="1">
      <alignment horizontal="right" vertical="center"/>
    </xf>
    <xf numFmtId="164" fontId="16" fillId="8" borderId="2" xfId="0" applyNumberFormat="1" applyFont="1" applyFill="1" applyBorder="1" applyAlignment="1">
      <alignment horizontal="right" vertical="center"/>
    </xf>
    <xf numFmtId="0" fontId="17" fillId="8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6" fillId="10" borderId="2" xfId="0" applyFont="1" applyFill="1" applyBorder="1" applyAlignment="1">
      <alignment horizontal="left" vertical="center"/>
    </xf>
    <xf numFmtId="3" fontId="16" fillId="10" borderId="2" xfId="0" applyNumberFormat="1" applyFont="1" applyFill="1" applyBorder="1" applyAlignment="1">
      <alignment horizontal="right" vertical="center"/>
    </xf>
    <xf numFmtId="164" fontId="16" fillId="10" borderId="2" xfId="0" applyNumberFormat="1" applyFont="1" applyFill="1" applyBorder="1" applyAlignment="1">
      <alignment horizontal="right" vertical="center"/>
    </xf>
    <xf numFmtId="0" fontId="16" fillId="11" borderId="2" xfId="0" applyFont="1" applyFill="1" applyBorder="1" applyAlignment="1">
      <alignment horizontal="left" vertical="center"/>
    </xf>
    <xf numFmtId="3" fontId="16" fillId="11" borderId="2" xfId="0" applyNumberFormat="1" applyFont="1" applyFill="1" applyBorder="1" applyAlignment="1">
      <alignment horizontal="right" vertical="center"/>
    </xf>
    <xf numFmtId="164" fontId="16" fillId="11" borderId="2" xfId="0" applyNumberFormat="1" applyFont="1" applyFill="1" applyBorder="1" applyAlignment="1">
      <alignment horizontal="right" vertical="center"/>
    </xf>
    <xf numFmtId="3" fontId="7" fillId="3" borderId="2" xfId="0" applyNumberFormat="1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/>
    </xf>
    <xf numFmtId="3" fontId="16" fillId="4" borderId="2" xfId="0" applyNumberFormat="1" applyFont="1" applyFill="1" applyBorder="1" applyAlignment="1">
      <alignment horizontal="left" vertical="center" wrapText="1"/>
    </xf>
    <xf numFmtId="164" fontId="14" fillId="9" borderId="2" xfId="0" applyNumberFormat="1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left" vertical="center"/>
    </xf>
    <xf numFmtId="3" fontId="16" fillId="8" borderId="2" xfId="0" applyNumberFormat="1" applyFont="1" applyFill="1" applyBorder="1" applyAlignment="1">
      <alignment horizontal="left" vertical="center" wrapText="1"/>
    </xf>
    <xf numFmtId="0" fontId="16" fillId="8" borderId="2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20" fillId="9" borderId="2" xfId="0" applyFont="1" applyFill="1" applyBorder="1" applyAlignment="1">
      <alignment horizontal="left" vertical="center"/>
    </xf>
    <xf numFmtId="0" fontId="0" fillId="9" borderId="2" xfId="0" applyFill="1" applyBorder="1"/>
    <xf numFmtId="0" fontId="21" fillId="12" borderId="2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left" vertical="center"/>
    </xf>
    <xf numFmtId="0" fontId="0" fillId="12" borderId="2" xfId="0" applyFill="1" applyBorder="1"/>
    <xf numFmtId="0" fontId="18" fillId="10" borderId="2" xfId="0" applyFont="1" applyFill="1" applyBorder="1" applyAlignment="1">
      <alignment horizontal="center" vertical="center"/>
    </xf>
    <xf numFmtId="0" fontId="23" fillId="10" borderId="2" xfId="0" applyFont="1" applyFill="1" applyBorder="1" applyAlignment="1">
      <alignment horizontal="left" vertical="center"/>
    </xf>
    <xf numFmtId="0" fontId="0" fillId="10" borderId="2" xfId="0" applyFill="1" applyBorder="1"/>
    <xf numFmtId="0" fontId="15" fillId="11" borderId="2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left" vertical="center"/>
    </xf>
    <xf numFmtId="0" fontId="0" fillId="11" borderId="2" xfId="0" applyFill="1" applyBorder="1"/>
    <xf numFmtId="0" fontId="0" fillId="0" borderId="2" xfId="0" applyFont="1" applyBorder="1"/>
    <xf numFmtId="3" fontId="0" fillId="0" borderId="2" xfId="0" applyNumberFormat="1" applyBorder="1"/>
    <xf numFmtId="164" fontId="0" fillId="0" borderId="2" xfId="0" applyNumberFormat="1" applyBorder="1"/>
    <xf numFmtId="0" fontId="0" fillId="14" borderId="0" xfId="0" applyFill="1"/>
    <xf numFmtId="0" fontId="0" fillId="0" borderId="0" xfId="0" applyFill="1"/>
    <xf numFmtId="0" fontId="26" fillId="14" borderId="0" xfId="0" applyFont="1" applyFill="1"/>
    <xf numFmtId="0" fontId="27" fillId="14" borderId="0" xfId="0" applyFont="1" applyFill="1" applyAlignment="1">
      <alignment vertical="center"/>
    </xf>
    <xf numFmtId="0" fontId="27" fillId="14" borderId="0" xfId="0" applyFont="1" applyFill="1" applyAlignment="1">
      <alignment horizontal="center" vertical="center"/>
    </xf>
    <xf numFmtId="0" fontId="27" fillId="15" borderId="0" xfId="0" applyFont="1" applyFill="1" applyAlignment="1">
      <alignment vertical="center"/>
    </xf>
    <xf numFmtId="0" fontId="27" fillId="15" borderId="0" xfId="0" applyFont="1" applyFill="1"/>
    <xf numFmtId="3" fontId="28" fillId="4" borderId="2" xfId="0" applyNumberFormat="1" applyFont="1" applyFill="1" applyBorder="1" applyAlignment="1">
      <alignment horizontal="left" vertical="center" wrapText="1"/>
    </xf>
    <xf numFmtId="0" fontId="26" fillId="15" borderId="0" xfId="0" applyFont="1" applyFill="1"/>
    <xf numFmtId="0" fontId="31" fillId="2" borderId="2" xfId="0" applyFont="1" applyFill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17" borderId="0" xfId="0" applyFill="1"/>
    <xf numFmtId="0" fontId="0" fillId="15" borderId="0" xfId="0" applyFill="1"/>
    <xf numFmtId="0" fontId="34" fillId="16" borderId="0" xfId="0" applyFont="1" applyFill="1" applyAlignment="1">
      <alignment horizontal="center" vertical="center"/>
    </xf>
    <xf numFmtId="0" fontId="0" fillId="17" borderId="0" xfId="0" applyFill="1" applyAlignment="1"/>
    <xf numFmtId="0" fontId="4" fillId="7" borderId="1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35" fillId="2" borderId="0" xfId="0" applyFont="1" applyFill="1" applyBorder="1" applyAlignment="1">
      <alignment horizontal="left" vertical="center"/>
    </xf>
    <xf numFmtId="0" fontId="27" fillId="14" borderId="0" xfId="0" applyFont="1" applyFill="1" applyAlignment="1">
      <alignment horizontal="center" vertical="center"/>
    </xf>
    <xf numFmtId="0" fontId="34" fillId="16" borderId="0" xfId="0" applyFont="1" applyFill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6" fillId="18" borderId="0" xfId="0" applyFont="1" applyFill="1" applyBorder="1" applyAlignment="1">
      <alignment horizontal="left" vertical="center"/>
    </xf>
    <xf numFmtId="3" fontId="33" fillId="16" borderId="0" xfId="0" applyNumberFormat="1" applyFont="1" applyFill="1" applyAlignment="1">
      <alignment horizontal="center" vertical="center"/>
    </xf>
    <xf numFmtId="0" fontId="33" fillId="16" borderId="0" xfId="0" applyFont="1" applyFill="1" applyAlignment="1">
      <alignment horizontal="center" vertical="center"/>
    </xf>
    <xf numFmtId="165" fontId="29" fillId="16" borderId="0" xfId="0" applyNumberFormat="1" applyFont="1" applyFill="1" applyAlignment="1">
      <alignment horizontal="center" vertical="center"/>
    </xf>
    <xf numFmtId="10" fontId="30" fillId="16" borderId="0" xfId="1" applyNumberFormat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117A65"/>
      <rgbColor rgb="FFBBBBBB"/>
      <rgbColor rgb="FF878787"/>
      <rgbColor rgb="FF9999FF"/>
      <rgbColor rgb="FF6C3483"/>
      <rgbColor rgb="FFFEF9E7"/>
      <rgbColor rgb="FFD6E4F0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5F5F5"/>
      <rgbColor rgb="FFD5F5E3"/>
      <rgbColor rgb="FFF9F9F9"/>
      <rgbColor rgb="FF99CCFF"/>
      <rgbColor rgb="FFFF99CC"/>
      <rgbColor rgb="FFCC99FF"/>
      <rgbColor rgb="FFFADBD8"/>
      <rgbColor rgb="FF2E86C1"/>
      <rgbColor rgb="FF33CCCC"/>
      <rgbColor rgb="FF9BBB59"/>
      <rgbColor rgb="FFFFCC00"/>
      <rgbColor rgb="FFFF9900"/>
      <rgbColor rgb="FFE67E22"/>
      <rgbColor rgb="FF8064A2"/>
      <rgbColor rgb="FF999999"/>
      <rgbColor rgb="FF1F3864"/>
      <rgbColor rgb="FF1E8449"/>
      <rgbColor rgb="FF003300"/>
      <rgbColor rgb="FF333300"/>
      <rgbColor rgb="FFC0392B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BBB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Loans by Status</a:t>
            </a:r>
          </a:p>
        </c:rich>
      </c:tx>
      <c:layout>
        <c:manualLayout>
          <c:xMode val="edge"/>
          <c:yMode val="edge"/>
          <c:x val="2.1378281753777996E-3"/>
          <c:y val="1.1560693641618497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370758669093939"/>
          <c:y val="0.2079482044513222"/>
          <c:w val="0.82629241330906067"/>
          <c:h val="0.79157252742251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'Charts &amp; Visuals'!$D$9</c:f>
              <c:strCache>
                <c:ptCount val="1"/>
                <c:pt idx="0">
                  <c:v>Number of Loans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1E0-44F6-8E43-52E588949822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1E0-44F6-8E43-52E588949822}"/>
              </c:ext>
            </c:extLst>
          </c:dPt>
          <c:dPt>
            <c:idx val="2"/>
            <c:invertIfNegative val="0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1E0-44F6-8E43-52E588949822}"/>
              </c:ext>
            </c:extLst>
          </c:dPt>
          <c:dPt>
            <c:idx val="3"/>
            <c:invertIfNegative val="0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1E0-44F6-8E43-52E58894982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K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E0-44F6-8E43-52E58894982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K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E0-44F6-8E43-52E58894982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K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E0-44F6-8E43-52E58894982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K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E0-44F6-8E43-52E5889498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'Charts &amp; Visuals'!$B$10:$B$13</c:f>
              <c:strCache>
                <c:ptCount val="4"/>
                <c:pt idx="0">
                  <c:v>Written Off</c:v>
                </c:pt>
                <c:pt idx="1">
                  <c:v>Closed</c:v>
                </c:pt>
                <c:pt idx="2">
                  <c:v>Delinquent</c:v>
                </c:pt>
                <c:pt idx="3">
                  <c:v>Active</c:v>
                </c:pt>
              </c:strCache>
            </c:strRef>
          </c:cat>
          <c:val>
            <c:numRef>
              <c:f>'Charts &amp; Visuals'!$D$10:$D$13</c:f>
              <c:numCache>
                <c:formatCode>#,##0</c:formatCode>
                <c:ptCount val="4"/>
                <c:pt idx="0">
                  <c:v>4</c:v>
                </c:pt>
                <c:pt idx="1">
                  <c:v>10</c:v>
                </c:pt>
                <c:pt idx="2">
                  <c:v>14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E0-44F6-8E43-52E588949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78185872"/>
        <c:axId val="1178193360"/>
      </c:barChart>
      <c:valAx>
        <c:axId val="1178193360"/>
        <c:scaling>
          <c:orientation val="minMax"/>
        </c:scaling>
        <c:delete val="1"/>
        <c:axPos val="b"/>
        <c:majorGridlines/>
        <c:numFmt formatCode="#,##0" sourceLinked="1"/>
        <c:majorTickMark val="out"/>
        <c:minorTickMark val="none"/>
        <c:tickLblPos val="nextTo"/>
        <c:crossAx val="1178185872"/>
        <c:crosses val="autoZero"/>
        <c:crossBetween val="between"/>
      </c:valAx>
      <c:catAx>
        <c:axId val="11781858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KE"/>
          </a:p>
        </c:txPr>
        <c:crossAx val="1178193360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 algn="ctr" rtl="0"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rPr>
              <a:t>Outstanding Balance by Sector (KES)</a:t>
            </a:r>
          </a:p>
        </c:rich>
      </c:tx>
      <c:layout>
        <c:manualLayout>
          <c:xMode val="edge"/>
          <c:yMode val="edge"/>
          <c:x val="7.4754901960784248E-3"/>
          <c:y val="1.4251781472684086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473251505326539"/>
          <c:y val="0.15665101838517217"/>
          <c:w val="0.72175270892694832"/>
          <c:h val="0.748091720126433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'Charts &amp; Visuals'!$D$16</c:f>
              <c:strCache>
                <c:ptCount val="1"/>
                <c:pt idx="0">
                  <c:v>Outstanding (KES)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'Charts &amp; Visuals'!$B$17:$B$24</c:f>
              <c:strCache>
                <c:ptCount val="8"/>
                <c:pt idx="0">
                  <c:v>Education</c:v>
                </c:pt>
                <c:pt idx="1">
                  <c:v>Agriculture</c:v>
                </c:pt>
                <c:pt idx="2">
                  <c:v>Transport</c:v>
                </c:pt>
                <c:pt idx="3">
                  <c:v>Trade &amp; Commerce</c:v>
                </c:pt>
                <c:pt idx="4">
                  <c:v>Health</c:v>
                </c:pt>
                <c:pt idx="5">
                  <c:v>Manufacturing</c:v>
                </c:pt>
                <c:pt idx="6">
                  <c:v>Real Estate</c:v>
                </c:pt>
                <c:pt idx="7">
                  <c:v>Personal</c:v>
                </c:pt>
              </c:strCache>
            </c:strRef>
          </c:cat>
          <c:val>
            <c:numRef>
              <c:f>'Charts &amp; Visuals'!$D$17:$D$24</c:f>
              <c:numCache>
                <c:formatCode>#,##0</c:formatCode>
                <c:ptCount val="8"/>
                <c:pt idx="0">
                  <c:v>330000</c:v>
                </c:pt>
                <c:pt idx="1">
                  <c:v>353000</c:v>
                </c:pt>
                <c:pt idx="2">
                  <c:v>435000</c:v>
                </c:pt>
                <c:pt idx="3">
                  <c:v>461000</c:v>
                </c:pt>
                <c:pt idx="4">
                  <c:v>530000</c:v>
                </c:pt>
                <c:pt idx="5">
                  <c:v>1200000</c:v>
                </c:pt>
                <c:pt idx="6">
                  <c:v>1256000</c:v>
                </c:pt>
                <c:pt idx="7">
                  <c:v>1353000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2-49DE-8E57-289733292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572709"/>
        <c:axId val="97448592"/>
      </c:barChart>
      <c:catAx>
        <c:axId val="2572709"/>
        <c:scaling>
          <c:orientation val="minMax"/>
        </c:scaling>
        <c:delete val="0"/>
        <c:axPos val="l"/>
        <c:numFmt formatCode="@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endParaRPr lang="en-KE"/>
          </a:p>
        </c:txPr>
        <c:crossAx val="97448592"/>
        <c:crosses val="autoZero"/>
        <c:auto val="1"/>
        <c:lblAlgn val="ctr"/>
        <c:lblOffset val="90"/>
        <c:noMultiLvlLbl val="0"/>
      </c:catAx>
      <c:valAx>
        <c:axId val="97448592"/>
        <c:scaling>
          <c:orientation val="minMax"/>
        </c:scaling>
        <c:delete val="0"/>
        <c:axPos val="b"/>
        <c:numFmt formatCode="0.0,,&quot;M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endParaRPr lang="en-KE"/>
          </a:p>
        </c:txPr>
        <c:crossAx val="25727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US"/>
              <a:t>Outstanding by DPD Bucket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Visuals'!$D$27</c:f>
              <c:strCache>
                <c:ptCount val="1"/>
                <c:pt idx="0">
                  <c:v>Outstanding (KES)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'Charts &amp; Visuals'!$B$28:$B$32</c:f>
              <c:strCache>
                <c:ptCount val="5"/>
                <c:pt idx="0">
                  <c:v>Current</c:v>
                </c:pt>
                <c:pt idx="1">
                  <c:v>1-30 DPD</c:v>
                </c:pt>
                <c:pt idx="2">
                  <c:v>31-60 DPD</c:v>
                </c:pt>
                <c:pt idx="3">
                  <c:v>61-90 DPD</c:v>
                </c:pt>
                <c:pt idx="4">
                  <c:v>&gt;90 DPD</c:v>
                </c:pt>
              </c:strCache>
            </c:strRef>
          </c:cat>
          <c:val>
            <c:numRef>
              <c:f>'Charts &amp; Visuals'!$D$28:$D$32</c:f>
              <c:numCache>
                <c:formatCode>#,##0</c:formatCode>
                <c:ptCount val="5"/>
                <c:pt idx="0">
                  <c:v>3284000</c:v>
                </c:pt>
                <c:pt idx="1">
                  <c:v>0</c:v>
                </c:pt>
                <c:pt idx="2">
                  <c:v>0</c:v>
                </c:pt>
                <c:pt idx="3">
                  <c:v>120000</c:v>
                </c:pt>
                <c:pt idx="4">
                  <c:v>2514000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A-439B-904B-FE7486ED1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16652"/>
        <c:axId val="4522835"/>
      </c:barChart>
      <c:catAx>
        <c:axId val="205166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Days Past Due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4522835"/>
        <c:crosses val="autoZero"/>
        <c:auto val="1"/>
        <c:lblAlgn val="ctr"/>
        <c:lblOffset val="100"/>
        <c:noMultiLvlLbl val="0"/>
      </c:catAx>
      <c:valAx>
        <c:axId val="4522835"/>
        <c:scaling>
          <c:orientation val="minMax"/>
        </c:scaling>
        <c:delete val="0"/>
        <c:axPos val="l"/>
        <c:numFmt formatCode="0.0,,&quot;M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205166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txPr>
    <a:bodyPr/>
    <a:lstStyle/>
    <a:p>
      <a:pPr>
        <a:defRPr b="1"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PAR Rate(%) by Loan Officer</a:t>
            </a:r>
          </a:p>
        </c:rich>
      </c:tx>
      <c:layout>
        <c:manualLayout>
          <c:xMode val="edge"/>
          <c:yMode val="edge"/>
          <c:x val="1.0829692282529864E-3"/>
          <c:y val="7.9207920792079209E-3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'Charts &amp; Visuals'!$D$35</c:f>
              <c:strCache>
                <c:ptCount val="1"/>
                <c:pt idx="0">
                  <c:v>PAR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Visuals'!$B$36:$B$43</c:f>
              <c:strCache>
                <c:ptCount val="8"/>
                <c:pt idx="0">
                  <c:v>S. Mutua</c:v>
                </c:pt>
                <c:pt idx="1">
                  <c:v>J. Kariuki</c:v>
                </c:pt>
                <c:pt idx="2">
                  <c:v>R. Njenga</c:v>
                </c:pt>
                <c:pt idx="3">
                  <c:v>M. Otieno</c:v>
                </c:pt>
                <c:pt idx="4">
                  <c:v>P. Kimani</c:v>
                </c:pt>
                <c:pt idx="5">
                  <c:v>L. Odhiambo</c:v>
                </c:pt>
                <c:pt idx="6">
                  <c:v>T. Chelimo</c:v>
                </c:pt>
                <c:pt idx="7">
                  <c:v>A. Wanjiku</c:v>
                </c:pt>
              </c:strCache>
            </c:strRef>
          </c:cat>
          <c:val>
            <c:numRef>
              <c:f>'Charts &amp; Visuals'!$D$36:$D$43</c:f>
              <c:numCache>
                <c:formatCode>0.0%</c:formatCode>
                <c:ptCount val="8"/>
                <c:pt idx="0">
                  <c:v>7.1698113207547168E-2</c:v>
                </c:pt>
                <c:pt idx="1">
                  <c:v>0.27762039660056659</c:v>
                </c:pt>
                <c:pt idx="2">
                  <c:v>0.34482758620689657</c:v>
                </c:pt>
                <c:pt idx="3">
                  <c:v>0.37527114967462039</c:v>
                </c:pt>
                <c:pt idx="4">
                  <c:v>0.39393939393939392</c:v>
                </c:pt>
                <c:pt idx="5">
                  <c:v>0.39649681528662423</c:v>
                </c:pt>
                <c:pt idx="6">
                  <c:v>0.47597930524759791</c:v>
                </c:pt>
                <c:pt idx="7">
                  <c:v>0.75249999999999995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2-449F-B69F-7FD940363B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2951666"/>
        <c:axId val="13147723"/>
      </c:barChart>
      <c:catAx>
        <c:axId val="295166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KE"/>
          </a:p>
        </c:txPr>
        <c:crossAx val="13147723"/>
        <c:crosses val="autoZero"/>
        <c:auto val="1"/>
        <c:lblAlgn val="ctr"/>
        <c:lblOffset val="100"/>
        <c:noMultiLvlLbl val="0"/>
      </c:catAx>
      <c:valAx>
        <c:axId val="13147723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29516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38100</xdr:rowOff>
    </xdr:from>
    <xdr:to>
      <xdr:col>18</xdr:col>
      <xdr:colOff>260350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107950</xdr:colOff>
      <xdr:row>5</xdr:row>
      <xdr:rowOff>203200</xdr:rowOff>
    </xdr:from>
    <xdr:to>
      <xdr:col>27</xdr:col>
      <xdr:colOff>25400</xdr:colOff>
      <xdr:row>20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260350</xdr:colOff>
      <xdr:row>21</xdr:row>
      <xdr:rowOff>69850</xdr:rowOff>
    </xdr:from>
    <xdr:to>
      <xdr:col>26</xdr:col>
      <xdr:colOff>590550</xdr:colOff>
      <xdr:row>39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12700</xdr:colOff>
      <xdr:row>21</xdr:row>
      <xdr:rowOff>6350</xdr:rowOff>
    </xdr:from>
    <xdr:to>
      <xdr:col>18</xdr:col>
      <xdr:colOff>266700</xdr:colOff>
      <xdr:row>38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392B"/>
  </sheetPr>
  <dimension ref="A1:D17"/>
  <sheetViews>
    <sheetView showGridLines="0" zoomScaleNormal="100" workbookViewId="0">
      <selection activeCell="B8" sqref="B8:C8"/>
    </sheetView>
  </sheetViews>
  <sheetFormatPr defaultColWidth="8.6328125" defaultRowHeight="14.5" x14ac:dyDescent="0.35"/>
  <cols>
    <col min="1" max="1" width="3" customWidth="1"/>
    <col min="2" max="2" width="22" customWidth="1"/>
    <col min="3" max="3" width="70" customWidth="1"/>
    <col min="4" max="4" width="3" customWidth="1"/>
  </cols>
  <sheetData>
    <row r="1" spans="1:4" ht="43.5" customHeight="1" x14ac:dyDescent="0.35">
      <c r="A1" s="89" t="s">
        <v>0</v>
      </c>
      <c r="B1" s="89"/>
      <c r="C1" s="89"/>
      <c r="D1" s="89"/>
    </row>
    <row r="2" spans="1:4" ht="18" customHeight="1" x14ac:dyDescent="0.35">
      <c r="A2" s="90" t="s">
        <v>1</v>
      </c>
      <c r="B2" s="90"/>
      <c r="C2" s="90"/>
      <c r="D2" s="90"/>
    </row>
    <row r="4" spans="1:4" ht="24" customHeight="1" x14ac:dyDescent="0.35">
      <c r="B4" s="88" t="s">
        <v>2</v>
      </c>
      <c r="C4" s="88"/>
    </row>
    <row r="5" spans="1:4" ht="51.75" customHeight="1" x14ac:dyDescent="0.35">
      <c r="B5" s="86" t="s">
        <v>3</v>
      </c>
      <c r="C5" s="86"/>
    </row>
    <row r="7" spans="1:4" ht="24" customHeight="1" x14ac:dyDescent="0.35">
      <c r="B7" s="91" t="s">
        <v>4</v>
      </c>
      <c r="C7" s="91"/>
    </row>
    <row r="8" spans="1:4" ht="90" customHeight="1" x14ac:dyDescent="0.35">
      <c r="B8" s="86" t="s">
        <v>376</v>
      </c>
      <c r="C8" s="86"/>
    </row>
    <row r="10" spans="1:4" ht="24" customHeight="1" x14ac:dyDescent="0.35">
      <c r="B10" s="87" t="s">
        <v>5</v>
      </c>
      <c r="C10" s="87"/>
    </row>
    <row r="11" spans="1:4" ht="90" customHeight="1" x14ac:dyDescent="0.35">
      <c r="B11" s="86" t="s">
        <v>6</v>
      </c>
      <c r="C11" s="86"/>
    </row>
    <row r="13" spans="1:4" ht="24" customHeight="1" x14ac:dyDescent="0.35">
      <c r="B13" s="88" t="s">
        <v>7</v>
      </c>
      <c r="C13" s="88"/>
    </row>
    <row r="14" spans="1:4" ht="90" customHeight="1" x14ac:dyDescent="0.35">
      <c r="B14" s="86" t="s">
        <v>8</v>
      </c>
      <c r="C14" s="86"/>
    </row>
    <row r="16" spans="1:4" ht="24" customHeight="1" x14ac:dyDescent="0.35">
      <c r="B16" s="84" t="s">
        <v>9</v>
      </c>
      <c r="C16" s="84"/>
    </row>
    <row r="17" spans="2:3" ht="90" customHeight="1" x14ac:dyDescent="0.35">
      <c r="B17" s="85" t="s">
        <v>10</v>
      </c>
      <c r="C17" s="86"/>
    </row>
  </sheetData>
  <mergeCells count="12">
    <mergeCell ref="A1:D1"/>
    <mergeCell ref="A2:D2"/>
    <mergeCell ref="B4:C4"/>
    <mergeCell ref="B5:C5"/>
    <mergeCell ref="B7:C7"/>
    <mergeCell ref="B16:C16"/>
    <mergeCell ref="B17:C17"/>
    <mergeCell ref="B8:C8"/>
    <mergeCell ref="B10:C10"/>
    <mergeCell ref="B11:C11"/>
    <mergeCell ref="B13:C13"/>
    <mergeCell ref="B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R51"/>
  <sheetViews>
    <sheetView showGridLines="0" zoomScaleNormal="100" workbookViewId="0">
      <pane ySplit="1" topLeftCell="A2" activePane="bottomLeft" state="frozen"/>
      <selection pane="bottomLeft" activeCell="U5" sqref="U5"/>
    </sheetView>
  </sheetViews>
  <sheetFormatPr defaultColWidth="8.6328125" defaultRowHeight="14.5" x14ac:dyDescent="0.35"/>
  <cols>
    <col min="1" max="1" width="12" customWidth="1"/>
    <col min="2" max="2" width="22" customWidth="1"/>
    <col min="3" max="3" width="12" customWidth="1"/>
    <col min="4" max="5" width="18" customWidth="1"/>
    <col min="6" max="6" width="16" customWidth="1"/>
    <col min="7" max="8" width="14" customWidth="1"/>
    <col min="9" max="9" width="12.90625" customWidth="1"/>
    <col min="10" max="10" width="10" customWidth="1"/>
    <col min="11" max="12" width="18" customWidth="1"/>
    <col min="13" max="13" width="10" customWidth="1"/>
    <col min="14" max="14" width="14" customWidth="1"/>
    <col min="15" max="15" width="10" customWidth="1"/>
    <col min="16" max="16" width="14" customWidth="1"/>
    <col min="17" max="18" width="18" customWidth="1"/>
  </cols>
  <sheetData>
    <row r="1" spans="1:18" ht="36" customHeight="1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</row>
    <row r="2" spans="1:18" x14ac:dyDescent="0.3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3">
        <v>100000</v>
      </c>
      <c r="G2" s="2" t="s">
        <v>34</v>
      </c>
      <c r="H2" s="2" t="s">
        <v>35</v>
      </c>
      <c r="I2" s="2">
        <v>6</v>
      </c>
      <c r="J2" s="4">
        <v>0.23499999999999999</v>
      </c>
      <c r="K2" s="3">
        <v>17827.490000000002</v>
      </c>
      <c r="L2" s="3">
        <v>0</v>
      </c>
      <c r="M2" s="3">
        <v>0</v>
      </c>
      <c r="N2" s="5" t="s">
        <v>36</v>
      </c>
      <c r="O2" s="2" t="s">
        <v>37</v>
      </c>
      <c r="P2" s="2" t="s">
        <v>38</v>
      </c>
      <c r="Q2" s="2" t="s">
        <v>39</v>
      </c>
      <c r="R2" s="3">
        <v>231000</v>
      </c>
    </row>
    <row r="3" spans="1:18" x14ac:dyDescent="0.35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7">
        <v>200000</v>
      </c>
      <c r="G3" s="6" t="s">
        <v>45</v>
      </c>
      <c r="H3" s="6" t="s">
        <v>46</v>
      </c>
      <c r="I3" s="6">
        <v>36</v>
      </c>
      <c r="J3" s="8">
        <v>0.216</v>
      </c>
      <c r="K3" s="7">
        <v>7596.77</v>
      </c>
      <c r="L3" s="7">
        <v>0</v>
      </c>
      <c r="M3" s="7">
        <v>0</v>
      </c>
      <c r="N3" s="9" t="s">
        <v>36</v>
      </c>
      <c r="O3" s="6" t="s">
        <v>47</v>
      </c>
      <c r="P3" s="6" t="s">
        <v>48</v>
      </c>
      <c r="Q3" s="6" t="s">
        <v>49</v>
      </c>
      <c r="R3" s="7">
        <v>352000</v>
      </c>
    </row>
    <row r="4" spans="1:18" x14ac:dyDescent="0.35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3">
        <v>75000</v>
      </c>
      <c r="G4" s="2" t="s">
        <v>55</v>
      </c>
      <c r="H4" s="2" t="s">
        <v>56</v>
      </c>
      <c r="I4" s="2">
        <v>18</v>
      </c>
      <c r="J4" s="4">
        <v>0.224</v>
      </c>
      <c r="K4" s="3">
        <v>4944.2</v>
      </c>
      <c r="L4" s="3">
        <v>20000</v>
      </c>
      <c r="M4" s="3">
        <v>0</v>
      </c>
      <c r="N4" s="10" t="s">
        <v>57</v>
      </c>
      <c r="O4" s="2" t="s">
        <v>47</v>
      </c>
      <c r="P4" s="2" t="s">
        <v>58</v>
      </c>
      <c r="Q4" s="2" t="s">
        <v>59</v>
      </c>
      <c r="R4" s="3">
        <v>132000</v>
      </c>
    </row>
    <row r="5" spans="1:18" x14ac:dyDescent="0.35">
      <c r="A5" s="6" t="s">
        <v>60</v>
      </c>
      <c r="B5" s="6" t="s">
        <v>61</v>
      </c>
      <c r="C5" s="6" t="s">
        <v>62</v>
      </c>
      <c r="D5" s="6" t="s">
        <v>63</v>
      </c>
      <c r="E5" s="6" t="s">
        <v>64</v>
      </c>
      <c r="F5" s="7">
        <v>250000</v>
      </c>
      <c r="G5" s="6" t="s">
        <v>65</v>
      </c>
      <c r="H5" s="6" t="s">
        <v>66</v>
      </c>
      <c r="I5" s="6">
        <v>12</v>
      </c>
      <c r="J5" s="8">
        <v>0.19400000000000001</v>
      </c>
      <c r="K5" s="7">
        <v>23086.9</v>
      </c>
      <c r="L5" s="7">
        <v>138000</v>
      </c>
      <c r="M5" s="7">
        <v>0</v>
      </c>
      <c r="N5" s="10" t="s">
        <v>57</v>
      </c>
      <c r="O5" s="6" t="s">
        <v>47</v>
      </c>
      <c r="P5" s="6" t="s">
        <v>67</v>
      </c>
      <c r="Q5" s="6" t="s">
        <v>68</v>
      </c>
      <c r="R5" s="7">
        <v>542000</v>
      </c>
    </row>
    <row r="6" spans="1:18" x14ac:dyDescent="0.35">
      <c r="A6" s="2" t="s">
        <v>69</v>
      </c>
      <c r="B6" s="2" t="s">
        <v>70</v>
      </c>
      <c r="C6" s="2" t="s">
        <v>71</v>
      </c>
      <c r="D6" s="2" t="s">
        <v>72</v>
      </c>
      <c r="E6" s="2" t="s">
        <v>73</v>
      </c>
      <c r="F6" s="3">
        <v>50000</v>
      </c>
      <c r="G6" s="2" t="s">
        <v>74</v>
      </c>
      <c r="H6" s="2" t="s">
        <v>75</v>
      </c>
      <c r="I6" s="2">
        <v>18</v>
      </c>
      <c r="J6" s="4">
        <v>0.189</v>
      </c>
      <c r="K6" s="3">
        <v>3211.78</v>
      </c>
      <c r="L6" s="3">
        <v>20000</v>
      </c>
      <c r="M6" s="3">
        <v>0</v>
      </c>
      <c r="N6" s="10" t="s">
        <v>57</v>
      </c>
      <c r="O6" s="2" t="s">
        <v>47</v>
      </c>
      <c r="P6" s="2" t="s">
        <v>76</v>
      </c>
      <c r="Q6" s="2" t="s">
        <v>77</v>
      </c>
      <c r="R6" s="3">
        <v>58000</v>
      </c>
    </row>
    <row r="7" spans="1:18" x14ac:dyDescent="0.35">
      <c r="A7" s="6" t="s">
        <v>78</v>
      </c>
      <c r="B7" s="6" t="s">
        <v>79</v>
      </c>
      <c r="C7" s="6" t="s">
        <v>80</v>
      </c>
      <c r="D7" s="6" t="s">
        <v>81</v>
      </c>
      <c r="E7" s="6" t="s">
        <v>33</v>
      </c>
      <c r="F7" s="7">
        <v>200000</v>
      </c>
      <c r="G7" s="6" t="s">
        <v>82</v>
      </c>
      <c r="H7" s="6" t="s">
        <v>83</v>
      </c>
      <c r="I7" s="6">
        <v>6</v>
      </c>
      <c r="J7" s="8">
        <v>0.16400000000000001</v>
      </c>
      <c r="K7" s="7">
        <v>34945.81</v>
      </c>
      <c r="L7" s="7">
        <v>35000</v>
      </c>
      <c r="M7" s="7">
        <v>321</v>
      </c>
      <c r="N7" s="11" t="s">
        <v>84</v>
      </c>
      <c r="O7" s="6" t="s">
        <v>47</v>
      </c>
      <c r="P7" s="6" t="s">
        <v>85</v>
      </c>
      <c r="Q7" s="6" t="s">
        <v>86</v>
      </c>
      <c r="R7" s="7">
        <v>484000</v>
      </c>
    </row>
    <row r="8" spans="1:18" x14ac:dyDescent="0.35">
      <c r="A8" s="2" t="s">
        <v>87</v>
      </c>
      <c r="B8" s="2" t="s">
        <v>88</v>
      </c>
      <c r="C8" s="2" t="s">
        <v>89</v>
      </c>
      <c r="D8" s="2" t="s">
        <v>90</v>
      </c>
      <c r="E8" s="2" t="s">
        <v>44</v>
      </c>
      <c r="F8" s="3">
        <v>400000</v>
      </c>
      <c r="G8" s="2" t="s">
        <v>91</v>
      </c>
      <c r="H8" s="2" t="s">
        <v>92</v>
      </c>
      <c r="I8" s="2">
        <v>6</v>
      </c>
      <c r="J8" s="4">
        <v>0.23799999999999999</v>
      </c>
      <c r="K8" s="3">
        <v>71370.16</v>
      </c>
      <c r="L8" s="3">
        <v>83000</v>
      </c>
      <c r="M8" s="3">
        <v>0</v>
      </c>
      <c r="N8" s="10" t="s">
        <v>57</v>
      </c>
      <c r="O8" s="2" t="s">
        <v>93</v>
      </c>
      <c r="P8" s="2" t="s">
        <v>94</v>
      </c>
      <c r="Q8" s="2" t="s">
        <v>95</v>
      </c>
      <c r="R8" s="3">
        <v>720000</v>
      </c>
    </row>
    <row r="9" spans="1:18" x14ac:dyDescent="0.35">
      <c r="A9" s="6" t="s">
        <v>96</v>
      </c>
      <c r="B9" s="6" t="s">
        <v>97</v>
      </c>
      <c r="C9" s="6" t="s">
        <v>98</v>
      </c>
      <c r="D9" s="6" t="s">
        <v>99</v>
      </c>
      <c r="E9" s="6" t="s">
        <v>54</v>
      </c>
      <c r="F9" s="7">
        <v>1000000</v>
      </c>
      <c r="G9" s="6" t="s">
        <v>100</v>
      </c>
      <c r="H9" s="6" t="s">
        <v>101</v>
      </c>
      <c r="I9" s="6">
        <v>36</v>
      </c>
      <c r="J9" s="8">
        <v>0.157</v>
      </c>
      <c r="K9" s="7">
        <v>35009.1</v>
      </c>
      <c r="L9" s="7">
        <v>616000</v>
      </c>
      <c r="M9" s="7">
        <v>0</v>
      </c>
      <c r="N9" s="10" t="s">
        <v>57</v>
      </c>
      <c r="O9" s="6" t="s">
        <v>37</v>
      </c>
      <c r="P9" s="6" t="s">
        <v>102</v>
      </c>
      <c r="Q9" s="6" t="s">
        <v>39</v>
      </c>
      <c r="R9" s="7">
        <v>1792000</v>
      </c>
    </row>
    <row r="10" spans="1:18" x14ac:dyDescent="0.35">
      <c r="A10" s="2" t="s">
        <v>103</v>
      </c>
      <c r="B10" s="2" t="s">
        <v>104</v>
      </c>
      <c r="C10" s="2" t="s">
        <v>31</v>
      </c>
      <c r="D10" s="2" t="s">
        <v>32</v>
      </c>
      <c r="E10" s="2" t="s">
        <v>64</v>
      </c>
      <c r="F10" s="3">
        <v>150000</v>
      </c>
      <c r="G10" s="2" t="s">
        <v>105</v>
      </c>
      <c r="H10" s="2" t="s">
        <v>106</v>
      </c>
      <c r="I10" s="2">
        <v>36</v>
      </c>
      <c r="J10" s="4">
        <v>0.216</v>
      </c>
      <c r="K10" s="3">
        <v>5697.57</v>
      </c>
      <c r="L10" s="3">
        <v>106000</v>
      </c>
      <c r="M10" s="3">
        <v>0</v>
      </c>
      <c r="N10" s="10" t="s">
        <v>57</v>
      </c>
      <c r="O10" s="2" t="s">
        <v>37</v>
      </c>
      <c r="P10" s="2" t="s">
        <v>38</v>
      </c>
      <c r="Q10" s="2" t="s">
        <v>49</v>
      </c>
      <c r="R10" s="3">
        <v>305000</v>
      </c>
    </row>
    <row r="11" spans="1:18" x14ac:dyDescent="0.35">
      <c r="A11" s="6" t="s">
        <v>107</v>
      </c>
      <c r="B11" s="6" t="s">
        <v>108</v>
      </c>
      <c r="C11" s="6" t="s">
        <v>42</v>
      </c>
      <c r="D11" s="6" t="s">
        <v>43</v>
      </c>
      <c r="E11" s="6" t="s">
        <v>73</v>
      </c>
      <c r="F11" s="7">
        <v>300000</v>
      </c>
      <c r="G11" s="6" t="s">
        <v>109</v>
      </c>
      <c r="H11" s="6" t="s">
        <v>110</v>
      </c>
      <c r="I11" s="6">
        <v>18</v>
      </c>
      <c r="J11" s="8">
        <v>0.184</v>
      </c>
      <c r="K11" s="7">
        <v>19198.990000000002</v>
      </c>
      <c r="L11" s="7">
        <v>61000</v>
      </c>
      <c r="M11" s="7">
        <v>0</v>
      </c>
      <c r="N11" s="10" t="s">
        <v>57</v>
      </c>
      <c r="O11" s="6" t="s">
        <v>93</v>
      </c>
      <c r="P11" s="6" t="s">
        <v>48</v>
      </c>
      <c r="Q11" s="6" t="s">
        <v>59</v>
      </c>
      <c r="R11" s="7">
        <v>533000</v>
      </c>
    </row>
    <row r="12" spans="1:18" x14ac:dyDescent="0.35">
      <c r="A12" s="2" t="s">
        <v>111</v>
      </c>
      <c r="B12" s="2" t="s">
        <v>112</v>
      </c>
      <c r="C12" s="2" t="s">
        <v>52</v>
      </c>
      <c r="D12" s="2" t="s">
        <v>53</v>
      </c>
      <c r="E12" s="2" t="s">
        <v>33</v>
      </c>
      <c r="F12" s="3">
        <v>150000</v>
      </c>
      <c r="G12" s="2" t="s">
        <v>113</v>
      </c>
      <c r="H12" s="2" t="s">
        <v>114</v>
      </c>
      <c r="I12" s="2">
        <v>18</v>
      </c>
      <c r="J12" s="4">
        <v>0.14199999999999999</v>
      </c>
      <c r="K12" s="3">
        <v>9301.34</v>
      </c>
      <c r="L12" s="3">
        <v>43000</v>
      </c>
      <c r="M12" s="3">
        <v>314</v>
      </c>
      <c r="N12" s="11" t="s">
        <v>84</v>
      </c>
      <c r="O12" s="2" t="s">
        <v>37</v>
      </c>
      <c r="P12" s="2" t="s">
        <v>58</v>
      </c>
      <c r="Q12" s="2" t="s">
        <v>68</v>
      </c>
      <c r="R12" s="3">
        <v>202000</v>
      </c>
    </row>
    <row r="13" spans="1:18" x14ac:dyDescent="0.35">
      <c r="A13" s="6" t="s">
        <v>115</v>
      </c>
      <c r="B13" s="6" t="s">
        <v>116</v>
      </c>
      <c r="C13" s="6" t="s">
        <v>62</v>
      </c>
      <c r="D13" s="6" t="s">
        <v>63</v>
      </c>
      <c r="E13" s="6" t="s">
        <v>44</v>
      </c>
      <c r="F13" s="7">
        <v>75000</v>
      </c>
      <c r="G13" s="6" t="s">
        <v>117</v>
      </c>
      <c r="H13" s="6" t="s">
        <v>118</v>
      </c>
      <c r="I13" s="6">
        <v>6</v>
      </c>
      <c r="J13" s="8">
        <v>0.16300000000000001</v>
      </c>
      <c r="K13" s="7">
        <v>13100.95</v>
      </c>
      <c r="L13" s="7">
        <v>62000</v>
      </c>
      <c r="M13" s="7">
        <v>0</v>
      </c>
      <c r="N13" s="10" t="s">
        <v>57</v>
      </c>
      <c r="O13" s="6" t="s">
        <v>37</v>
      </c>
      <c r="P13" s="6" t="s">
        <v>67</v>
      </c>
      <c r="Q13" s="6" t="s">
        <v>77</v>
      </c>
      <c r="R13" s="7">
        <v>177000</v>
      </c>
    </row>
    <row r="14" spans="1:18" x14ac:dyDescent="0.35">
      <c r="A14" s="2" t="s">
        <v>119</v>
      </c>
      <c r="B14" s="2" t="s">
        <v>120</v>
      </c>
      <c r="C14" s="2" t="s">
        <v>71</v>
      </c>
      <c r="D14" s="2" t="s">
        <v>72</v>
      </c>
      <c r="E14" s="2" t="s">
        <v>54</v>
      </c>
      <c r="F14" s="3">
        <v>75000</v>
      </c>
      <c r="G14" s="2" t="s">
        <v>121</v>
      </c>
      <c r="H14" s="2" t="s">
        <v>122</v>
      </c>
      <c r="I14" s="2">
        <v>12</v>
      </c>
      <c r="J14" s="4">
        <v>0.16800000000000001</v>
      </c>
      <c r="K14" s="3">
        <v>6833.24</v>
      </c>
      <c r="L14" s="3">
        <v>0</v>
      </c>
      <c r="M14" s="3">
        <v>0</v>
      </c>
      <c r="N14" s="5" t="s">
        <v>36</v>
      </c>
      <c r="O14" s="2" t="s">
        <v>123</v>
      </c>
      <c r="P14" s="2" t="s">
        <v>76</v>
      </c>
      <c r="Q14" s="2" t="s">
        <v>86</v>
      </c>
      <c r="R14" s="3">
        <v>130000</v>
      </c>
    </row>
    <row r="15" spans="1:18" x14ac:dyDescent="0.35">
      <c r="A15" s="6" t="s">
        <v>124</v>
      </c>
      <c r="B15" s="6" t="s">
        <v>125</v>
      </c>
      <c r="C15" s="6" t="s">
        <v>80</v>
      </c>
      <c r="D15" s="6" t="s">
        <v>81</v>
      </c>
      <c r="E15" s="6" t="s">
        <v>64</v>
      </c>
      <c r="F15" s="7">
        <v>500000</v>
      </c>
      <c r="G15" s="6" t="s">
        <v>126</v>
      </c>
      <c r="H15" s="6" t="s">
        <v>127</v>
      </c>
      <c r="I15" s="6">
        <v>36</v>
      </c>
      <c r="J15" s="8">
        <v>0.19800000000000001</v>
      </c>
      <c r="K15" s="7">
        <v>18530.88</v>
      </c>
      <c r="L15" s="7">
        <v>393000</v>
      </c>
      <c r="M15" s="7">
        <v>155</v>
      </c>
      <c r="N15" s="11" t="s">
        <v>84</v>
      </c>
      <c r="O15" s="6" t="s">
        <v>123</v>
      </c>
      <c r="P15" s="6" t="s">
        <v>85</v>
      </c>
      <c r="Q15" s="6" t="s">
        <v>95</v>
      </c>
      <c r="R15" s="7">
        <v>1088000</v>
      </c>
    </row>
    <row r="16" spans="1:18" x14ac:dyDescent="0.35">
      <c r="A16" s="2" t="s">
        <v>128</v>
      </c>
      <c r="B16" s="2" t="s">
        <v>129</v>
      </c>
      <c r="C16" s="2" t="s">
        <v>89</v>
      </c>
      <c r="D16" s="2" t="s">
        <v>90</v>
      </c>
      <c r="E16" s="2" t="s">
        <v>73</v>
      </c>
      <c r="F16" s="3">
        <v>150000</v>
      </c>
      <c r="G16" s="2" t="s">
        <v>130</v>
      </c>
      <c r="H16" s="2" t="s">
        <v>131</v>
      </c>
      <c r="I16" s="2">
        <v>6</v>
      </c>
      <c r="J16" s="4">
        <v>0.20599999999999999</v>
      </c>
      <c r="K16" s="3">
        <v>26523.39</v>
      </c>
      <c r="L16" s="3">
        <v>67000</v>
      </c>
      <c r="M16" s="3">
        <v>0</v>
      </c>
      <c r="N16" s="10" t="s">
        <v>57</v>
      </c>
      <c r="O16" s="2" t="s">
        <v>123</v>
      </c>
      <c r="P16" s="2" t="s">
        <v>94</v>
      </c>
      <c r="Q16" s="2" t="s">
        <v>39</v>
      </c>
      <c r="R16" s="3">
        <v>230000</v>
      </c>
    </row>
    <row r="17" spans="1:18" x14ac:dyDescent="0.35">
      <c r="A17" s="6" t="s">
        <v>132</v>
      </c>
      <c r="B17" s="6" t="s">
        <v>133</v>
      </c>
      <c r="C17" s="6" t="s">
        <v>98</v>
      </c>
      <c r="D17" s="6" t="s">
        <v>99</v>
      </c>
      <c r="E17" s="6" t="s">
        <v>33</v>
      </c>
      <c r="F17" s="7">
        <v>50000</v>
      </c>
      <c r="G17" s="6" t="s">
        <v>134</v>
      </c>
      <c r="H17" s="6" t="s">
        <v>135</v>
      </c>
      <c r="I17" s="6">
        <v>6</v>
      </c>
      <c r="J17" s="8">
        <v>0.14599999999999999</v>
      </c>
      <c r="K17" s="7">
        <v>8691.77</v>
      </c>
      <c r="L17" s="7">
        <v>0</v>
      </c>
      <c r="M17" s="7">
        <v>0</v>
      </c>
      <c r="N17" s="9" t="s">
        <v>36</v>
      </c>
      <c r="O17" s="6" t="s">
        <v>37</v>
      </c>
      <c r="P17" s="6" t="s">
        <v>102</v>
      </c>
      <c r="Q17" s="6" t="s">
        <v>49</v>
      </c>
      <c r="R17" s="7">
        <v>105000</v>
      </c>
    </row>
    <row r="18" spans="1:18" x14ac:dyDescent="0.35">
      <c r="A18" s="2" t="s">
        <v>136</v>
      </c>
      <c r="B18" s="2" t="s">
        <v>137</v>
      </c>
      <c r="C18" s="2" t="s">
        <v>31</v>
      </c>
      <c r="D18" s="2" t="s">
        <v>32</v>
      </c>
      <c r="E18" s="2" t="s">
        <v>44</v>
      </c>
      <c r="F18" s="3">
        <v>75000</v>
      </c>
      <c r="G18" s="2" t="s">
        <v>138</v>
      </c>
      <c r="H18" s="2" t="s">
        <v>139</v>
      </c>
      <c r="I18" s="2">
        <v>12</v>
      </c>
      <c r="J18" s="4">
        <v>0.159</v>
      </c>
      <c r="K18" s="3">
        <v>6801.27</v>
      </c>
      <c r="L18" s="3">
        <v>19000</v>
      </c>
      <c r="M18" s="3">
        <v>260</v>
      </c>
      <c r="N18" s="12" t="s">
        <v>140</v>
      </c>
      <c r="O18" s="2" t="s">
        <v>47</v>
      </c>
      <c r="P18" s="2" t="s">
        <v>38</v>
      </c>
      <c r="Q18" s="2" t="s">
        <v>59</v>
      </c>
      <c r="R18" s="3">
        <v>91000</v>
      </c>
    </row>
    <row r="19" spans="1:18" x14ac:dyDescent="0.35">
      <c r="A19" s="6" t="s">
        <v>141</v>
      </c>
      <c r="B19" s="6" t="s">
        <v>142</v>
      </c>
      <c r="C19" s="6" t="s">
        <v>42</v>
      </c>
      <c r="D19" s="6" t="s">
        <v>43</v>
      </c>
      <c r="E19" s="6" t="s">
        <v>54</v>
      </c>
      <c r="F19" s="7">
        <v>400000</v>
      </c>
      <c r="G19" s="6" t="s">
        <v>138</v>
      </c>
      <c r="H19" s="6" t="s">
        <v>143</v>
      </c>
      <c r="I19" s="6">
        <v>6</v>
      </c>
      <c r="J19" s="8">
        <v>0.184</v>
      </c>
      <c r="K19" s="7">
        <v>70289.81</v>
      </c>
      <c r="L19" s="7">
        <v>227000</v>
      </c>
      <c r="M19" s="7">
        <v>0</v>
      </c>
      <c r="N19" s="10" t="s">
        <v>57</v>
      </c>
      <c r="O19" s="6" t="s">
        <v>123</v>
      </c>
      <c r="P19" s="6" t="s">
        <v>48</v>
      </c>
      <c r="Q19" s="6" t="s">
        <v>68</v>
      </c>
      <c r="R19" s="7">
        <v>917000</v>
      </c>
    </row>
    <row r="20" spans="1:18" x14ac:dyDescent="0.35">
      <c r="A20" s="2" t="s">
        <v>144</v>
      </c>
      <c r="B20" s="2" t="s">
        <v>145</v>
      </c>
      <c r="C20" s="2" t="s">
        <v>52</v>
      </c>
      <c r="D20" s="2" t="s">
        <v>53</v>
      </c>
      <c r="E20" s="2" t="s">
        <v>64</v>
      </c>
      <c r="F20" s="3">
        <v>50000</v>
      </c>
      <c r="G20" s="2" t="s">
        <v>146</v>
      </c>
      <c r="H20" s="2" t="s">
        <v>147</v>
      </c>
      <c r="I20" s="2">
        <v>36</v>
      </c>
      <c r="J20" s="4">
        <v>0.224</v>
      </c>
      <c r="K20" s="3">
        <v>1919.88</v>
      </c>
      <c r="L20" s="3">
        <v>41000</v>
      </c>
      <c r="M20" s="3">
        <v>78</v>
      </c>
      <c r="N20" s="11" t="s">
        <v>84</v>
      </c>
      <c r="O20" s="2" t="s">
        <v>148</v>
      </c>
      <c r="P20" s="2" t="s">
        <v>58</v>
      </c>
      <c r="Q20" s="2" t="s">
        <v>77</v>
      </c>
      <c r="R20" s="3">
        <v>119000</v>
      </c>
    </row>
    <row r="21" spans="1:18" x14ac:dyDescent="0.35">
      <c r="A21" s="6" t="s">
        <v>149</v>
      </c>
      <c r="B21" s="6" t="s">
        <v>150</v>
      </c>
      <c r="C21" s="6" t="s">
        <v>62</v>
      </c>
      <c r="D21" s="6" t="s">
        <v>63</v>
      </c>
      <c r="E21" s="6" t="s">
        <v>73</v>
      </c>
      <c r="F21" s="7">
        <v>100000</v>
      </c>
      <c r="G21" s="6" t="s">
        <v>151</v>
      </c>
      <c r="H21" s="6" t="s">
        <v>152</v>
      </c>
      <c r="I21" s="6">
        <v>24</v>
      </c>
      <c r="J21" s="8">
        <v>0.188</v>
      </c>
      <c r="K21" s="7">
        <v>5031.1499999999996</v>
      </c>
      <c r="L21" s="7">
        <v>0</v>
      </c>
      <c r="M21" s="7">
        <v>0</v>
      </c>
      <c r="N21" s="9" t="s">
        <v>36</v>
      </c>
      <c r="O21" s="6" t="s">
        <v>93</v>
      </c>
      <c r="P21" s="6" t="s">
        <v>67</v>
      </c>
      <c r="Q21" s="6" t="s">
        <v>86</v>
      </c>
      <c r="R21" s="7">
        <v>230000</v>
      </c>
    </row>
    <row r="22" spans="1:18" x14ac:dyDescent="0.35">
      <c r="A22" s="2" t="s">
        <v>153</v>
      </c>
      <c r="B22" s="2" t="s">
        <v>154</v>
      </c>
      <c r="C22" s="2" t="s">
        <v>71</v>
      </c>
      <c r="D22" s="2" t="s">
        <v>72</v>
      </c>
      <c r="E22" s="2" t="s">
        <v>33</v>
      </c>
      <c r="F22" s="3">
        <v>50000</v>
      </c>
      <c r="G22" s="2" t="s">
        <v>155</v>
      </c>
      <c r="H22" s="2" t="s">
        <v>156</v>
      </c>
      <c r="I22" s="2">
        <v>24</v>
      </c>
      <c r="J22" s="4">
        <v>0.14000000000000001</v>
      </c>
      <c r="K22" s="3">
        <v>2400.64</v>
      </c>
      <c r="L22" s="3">
        <v>38000</v>
      </c>
      <c r="M22" s="3">
        <v>230</v>
      </c>
      <c r="N22" s="11" t="s">
        <v>84</v>
      </c>
      <c r="O22" s="2" t="s">
        <v>148</v>
      </c>
      <c r="P22" s="2" t="s">
        <v>76</v>
      </c>
      <c r="Q22" s="2" t="s">
        <v>95</v>
      </c>
      <c r="R22" s="3">
        <v>70000</v>
      </c>
    </row>
    <row r="23" spans="1:18" x14ac:dyDescent="0.35">
      <c r="A23" s="6" t="s">
        <v>157</v>
      </c>
      <c r="B23" s="6" t="s">
        <v>158</v>
      </c>
      <c r="C23" s="6" t="s">
        <v>80</v>
      </c>
      <c r="D23" s="6" t="s">
        <v>81</v>
      </c>
      <c r="E23" s="6" t="s">
        <v>44</v>
      </c>
      <c r="F23" s="7">
        <v>400000</v>
      </c>
      <c r="G23" s="6" t="s">
        <v>159</v>
      </c>
      <c r="H23" s="6" t="s">
        <v>160</v>
      </c>
      <c r="I23" s="6">
        <v>24</v>
      </c>
      <c r="J23" s="8">
        <v>0.21</v>
      </c>
      <c r="K23" s="7">
        <v>20554.259999999998</v>
      </c>
      <c r="L23" s="7">
        <v>306000</v>
      </c>
      <c r="M23" s="7">
        <v>0</v>
      </c>
      <c r="N23" s="10" t="s">
        <v>57</v>
      </c>
      <c r="O23" s="6" t="s">
        <v>37</v>
      </c>
      <c r="P23" s="6" t="s">
        <v>85</v>
      </c>
      <c r="Q23" s="6" t="s">
        <v>39</v>
      </c>
      <c r="R23" s="7">
        <v>838000</v>
      </c>
    </row>
    <row r="24" spans="1:18" x14ac:dyDescent="0.35">
      <c r="A24" s="2" t="s">
        <v>161</v>
      </c>
      <c r="B24" s="2" t="s">
        <v>162</v>
      </c>
      <c r="C24" s="2" t="s">
        <v>89</v>
      </c>
      <c r="D24" s="2" t="s">
        <v>90</v>
      </c>
      <c r="E24" s="2" t="s">
        <v>54</v>
      </c>
      <c r="F24" s="3">
        <v>1000000</v>
      </c>
      <c r="G24" s="2" t="s">
        <v>163</v>
      </c>
      <c r="H24" s="2" t="s">
        <v>164</v>
      </c>
      <c r="I24" s="2">
        <v>24</v>
      </c>
      <c r="J24" s="4">
        <v>0.155</v>
      </c>
      <c r="K24" s="3">
        <v>48724.54</v>
      </c>
      <c r="L24" s="3">
        <v>150000</v>
      </c>
      <c r="M24" s="3">
        <v>182</v>
      </c>
      <c r="N24" s="11" t="s">
        <v>84</v>
      </c>
      <c r="O24" s="2" t="s">
        <v>93</v>
      </c>
      <c r="P24" s="2" t="s">
        <v>94</v>
      </c>
      <c r="Q24" s="2" t="s">
        <v>49</v>
      </c>
      <c r="R24" s="3">
        <v>1327000</v>
      </c>
    </row>
    <row r="25" spans="1:18" x14ac:dyDescent="0.35">
      <c r="A25" s="6" t="s">
        <v>165</v>
      </c>
      <c r="B25" s="6" t="s">
        <v>166</v>
      </c>
      <c r="C25" s="6" t="s">
        <v>98</v>
      </c>
      <c r="D25" s="6" t="s">
        <v>99</v>
      </c>
      <c r="E25" s="6" t="s">
        <v>64</v>
      </c>
      <c r="F25" s="7">
        <v>500000</v>
      </c>
      <c r="G25" s="6" t="s">
        <v>167</v>
      </c>
      <c r="H25" s="6" t="s">
        <v>168</v>
      </c>
      <c r="I25" s="6">
        <v>18</v>
      </c>
      <c r="J25" s="8">
        <v>0.14599999999999999</v>
      </c>
      <c r="K25" s="7">
        <v>31098.35</v>
      </c>
      <c r="L25" s="7">
        <v>441000</v>
      </c>
      <c r="M25" s="7">
        <v>330</v>
      </c>
      <c r="N25" s="11" t="s">
        <v>84</v>
      </c>
      <c r="O25" s="6" t="s">
        <v>93</v>
      </c>
      <c r="P25" s="6" t="s">
        <v>102</v>
      </c>
      <c r="Q25" s="6" t="s">
        <v>59</v>
      </c>
      <c r="R25" s="7">
        <v>858000</v>
      </c>
    </row>
    <row r="26" spans="1:18" x14ac:dyDescent="0.35">
      <c r="A26" s="2" t="s">
        <v>169</v>
      </c>
      <c r="B26" s="2" t="s">
        <v>170</v>
      </c>
      <c r="C26" s="2" t="s">
        <v>31</v>
      </c>
      <c r="D26" s="2" t="s">
        <v>32</v>
      </c>
      <c r="E26" s="2" t="s">
        <v>73</v>
      </c>
      <c r="F26" s="3">
        <v>500000</v>
      </c>
      <c r="G26" s="2" t="s">
        <v>171</v>
      </c>
      <c r="H26" s="2" t="s">
        <v>172</v>
      </c>
      <c r="I26" s="2">
        <v>6</v>
      </c>
      <c r="J26" s="4">
        <v>0.23599999999999999</v>
      </c>
      <c r="K26" s="3">
        <v>89162.52</v>
      </c>
      <c r="L26" s="3">
        <v>79000</v>
      </c>
      <c r="M26" s="3">
        <v>72</v>
      </c>
      <c r="N26" s="11" t="s">
        <v>84</v>
      </c>
      <c r="O26" s="2" t="s">
        <v>37</v>
      </c>
      <c r="P26" s="2" t="s">
        <v>38</v>
      </c>
      <c r="Q26" s="2" t="s">
        <v>68</v>
      </c>
      <c r="R26" s="3">
        <v>1139000</v>
      </c>
    </row>
    <row r="27" spans="1:18" x14ac:dyDescent="0.35">
      <c r="A27" s="6" t="s">
        <v>173</v>
      </c>
      <c r="B27" s="6" t="s">
        <v>174</v>
      </c>
      <c r="C27" s="6" t="s">
        <v>42</v>
      </c>
      <c r="D27" s="6" t="s">
        <v>43</v>
      </c>
      <c r="E27" s="6" t="s">
        <v>33</v>
      </c>
      <c r="F27" s="7">
        <v>75000</v>
      </c>
      <c r="G27" s="6" t="s">
        <v>175</v>
      </c>
      <c r="H27" s="6" t="s">
        <v>176</v>
      </c>
      <c r="I27" s="6">
        <v>12</v>
      </c>
      <c r="J27" s="8">
        <v>0.18</v>
      </c>
      <c r="K27" s="7">
        <v>6876</v>
      </c>
      <c r="L27" s="7">
        <v>45000</v>
      </c>
      <c r="M27" s="7">
        <v>322</v>
      </c>
      <c r="N27" s="12" t="s">
        <v>140</v>
      </c>
      <c r="O27" s="6" t="s">
        <v>93</v>
      </c>
      <c r="P27" s="6" t="s">
        <v>48</v>
      </c>
      <c r="Q27" s="6" t="s">
        <v>77</v>
      </c>
      <c r="R27" s="7">
        <v>103000</v>
      </c>
    </row>
    <row r="28" spans="1:18" x14ac:dyDescent="0.35">
      <c r="A28" s="2" t="s">
        <v>177</v>
      </c>
      <c r="B28" s="2" t="s">
        <v>178</v>
      </c>
      <c r="C28" s="2" t="s">
        <v>52</v>
      </c>
      <c r="D28" s="2" t="s">
        <v>53</v>
      </c>
      <c r="E28" s="2" t="s">
        <v>44</v>
      </c>
      <c r="F28" s="3">
        <v>750000</v>
      </c>
      <c r="G28" s="2" t="s">
        <v>179</v>
      </c>
      <c r="H28" s="2" t="s">
        <v>180</v>
      </c>
      <c r="I28" s="2">
        <v>24</v>
      </c>
      <c r="J28" s="4">
        <v>0.20599999999999999</v>
      </c>
      <c r="K28" s="3">
        <v>38392.04</v>
      </c>
      <c r="L28" s="3">
        <v>277000</v>
      </c>
      <c r="M28" s="3">
        <v>0</v>
      </c>
      <c r="N28" s="10" t="s">
        <v>57</v>
      </c>
      <c r="O28" s="2" t="s">
        <v>148</v>
      </c>
      <c r="P28" s="2" t="s">
        <v>58</v>
      </c>
      <c r="Q28" s="2" t="s">
        <v>86</v>
      </c>
      <c r="R28" s="3">
        <v>1386000</v>
      </c>
    </row>
    <row r="29" spans="1:18" x14ac:dyDescent="0.35">
      <c r="A29" s="6" t="s">
        <v>181</v>
      </c>
      <c r="B29" s="6" t="s">
        <v>182</v>
      </c>
      <c r="C29" s="6" t="s">
        <v>62</v>
      </c>
      <c r="D29" s="6" t="s">
        <v>63</v>
      </c>
      <c r="E29" s="6" t="s">
        <v>54</v>
      </c>
      <c r="F29" s="7">
        <v>200000</v>
      </c>
      <c r="G29" s="6" t="s">
        <v>183</v>
      </c>
      <c r="H29" s="6" t="s">
        <v>184</v>
      </c>
      <c r="I29" s="6">
        <v>18</v>
      </c>
      <c r="J29" s="8">
        <v>0.16400000000000001</v>
      </c>
      <c r="K29" s="7">
        <v>12609.13</v>
      </c>
      <c r="L29" s="7">
        <v>130000</v>
      </c>
      <c r="M29" s="7">
        <v>233</v>
      </c>
      <c r="N29" s="11" t="s">
        <v>84</v>
      </c>
      <c r="O29" s="6" t="s">
        <v>37</v>
      </c>
      <c r="P29" s="6" t="s">
        <v>67</v>
      </c>
      <c r="Q29" s="6" t="s">
        <v>95</v>
      </c>
      <c r="R29" s="7">
        <v>239000</v>
      </c>
    </row>
    <row r="30" spans="1:18" x14ac:dyDescent="0.35">
      <c r="A30" s="2" t="s">
        <v>185</v>
      </c>
      <c r="B30" s="2" t="s">
        <v>186</v>
      </c>
      <c r="C30" s="2" t="s">
        <v>71</v>
      </c>
      <c r="D30" s="2" t="s">
        <v>72</v>
      </c>
      <c r="E30" s="2" t="s">
        <v>64</v>
      </c>
      <c r="F30" s="3">
        <v>400000</v>
      </c>
      <c r="G30" s="2" t="s">
        <v>187</v>
      </c>
      <c r="H30" s="2" t="s">
        <v>188</v>
      </c>
      <c r="I30" s="2">
        <v>6</v>
      </c>
      <c r="J30" s="4">
        <v>0.14099999999999999</v>
      </c>
      <c r="K30" s="3">
        <v>69435.02</v>
      </c>
      <c r="L30" s="3">
        <v>231000</v>
      </c>
      <c r="M30" s="3">
        <v>0</v>
      </c>
      <c r="N30" s="10" t="s">
        <v>57</v>
      </c>
      <c r="O30" s="2" t="s">
        <v>93</v>
      </c>
      <c r="P30" s="2" t="s">
        <v>76</v>
      </c>
      <c r="Q30" s="2" t="s">
        <v>39</v>
      </c>
      <c r="R30" s="3">
        <v>773000</v>
      </c>
    </row>
    <row r="31" spans="1:18" x14ac:dyDescent="0.35">
      <c r="A31" s="6" t="s">
        <v>189</v>
      </c>
      <c r="B31" s="6" t="s">
        <v>190</v>
      </c>
      <c r="C31" s="6" t="s">
        <v>80</v>
      </c>
      <c r="D31" s="6" t="s">
        <v>81</v>
      </c>
      <c r="E31" s="6" t="s">
        <v>73</v>
      </c>
      <c r="F31" s="7">
        <v>75000</v>
      </c>
      <c r="G31" s="6" t="s">
        <v>191</v>
      </c>
      <c r="H31" s="6" t="s">
        <v>192</v>
      </c>
      <c r="I31" s="6">
        <v>36</v>
      </c>
      <c r="J31" s="8">
        <v>0.161</v>
      </c>
      <c r="K31" s="7">
        <v>2640.48</v>
      </c>
      <c r="L31" s="7">
        <v>30000</v>
      </c>
      <c r="M31" s="7">
        <v>166</v>
      </c>
      <c r="N31" s="11" t="s">
        <v>84</v>
      </c>
      <c r="O31" s="6" t="s">
        <v>93</v>
      </c>
      <c r="P31" s="6" t="s">
        <v>85</v>
      </c>
      <c r="Q31" s="6" t="s">
        <v>49</v>
      </c>
      <c r="R31" s="7">
        <v>90000</v>
      </c>
    </row>
    <row r="32" spans="1:18" x14ac:dyDescent="0.35">
      <c r="A32" s="2" t="s">
        <v>193</v>
      </c>
      <c r="B32" s="2" t="s">
        <v>194</v>
      </c>
      <c r="C32" s="2" t="s">
        <v>89</v>
      </c>
      <c r="D32" s="2" t="s">
        <v>90</v>
      </c>
      <c r="E32" s="2" t="s">
        <v>33</v>
      </c>
      <c r="F32" s="3">
        <v>75000</v>
      </c>
      <c r="G32" s="2" t="s">
        <v>195</v>
      </c>
      <c r="H32" s="2" t="s">
        <v>196</v>
      </c>
      <c r="I32" s="2">
        <v>12</v>
      </c>
      <c r="J32" s="4">
        <v>0.17699999999999999</v>
      </c>
      <c r="K32" s="3">
        <v>6865.3</v>
      </c>
      <c r="L32" s="3">
        <v>61000</v>
      </c>
      <c r="M32" s="3">
        <v>0</v>
      </c>
      <c r="N32" s="10" t="s">
        <v>57</v>
      </c>
      <c r="O32" s="2" t="s">
        <v>47</v>
      </c>
      <c r="P32" s="2" t="s">
        <v>94</v>
      </c>
      <c r="Q32" s="2" t="s">
        <v>59</v>
      </c>
      <c r="R32" s="3">
        <v>93000</v>
      </c>
    </row>
    <row r="33" spans="1:18" x14ac:dyDescent="0.35">
      <c r="A33" s="6" t="s">
        <v>197</v>
      </c>
      <c r="B33" s="6" t="s">
        <v>198</v>
      </c>
      <c r="C33" s="6" t="s">
        <v>98</v>
      </c>
      <c r="D33" s="6" t="s">
        <v>99</v>
      </c>
      <c r="E33" s="6" t="s">
        <v>44</v>
      </c>
      <c r="F33" s="7">
        <v>200000</v>
      </c>
      <c r="G33" s="6" t="s">
        <v>199</v>
      </c>
      <c r="H33" s="6" t="s">
        <v>200</v>
      </c>
      <c r="I33" s="6">
        <v>36</v>
      </c>
      <c r="J33" s="8">
        <v>0.14099999999999999</v>
      </c>
      <c r="K33" s="7">
        <v>6845.24</v>
      </c>
      <c r="L33" s="7">
        <v>133000</v>
      </c>
      <c r="M33" s="7">
        <v>314</v>
      </c>
      <c r="N33" s="12" t="s">
        <v>140</v>
      </c>
      <c r="O33" s="6" t="s">
        <v>123</v>
      </c>
      <c r="P33" s="6" t="s">
        <v>102</v>
      </c>
      <c r="Q33" s="6" t="s">
        <v>68</v>
      </c>
      <c r="R33" s="7">
        <v>290000</v>
      </c>
    </row>
    <row r="34" spans="1:18" x14ac:dyDescent="0.35">
      <c r="A34" s="2" t="s">
        <v>201</v>
      </c>
      <c r="B34" s="2" t="s">
        <v>202</v>
      </c>
      <c r="C34" s="2" t="s">
        <v>31</v>
      </c>
      <c r="D34" s="2" t="s">
        <v>32</v>
      </c>
      <c r="E34" s="2" t="s">
        <v>54</v>
      </c>
      <c r="F34" s="3">
        <v>100000</v>
      </c>
      <c r="G34" s="2" t="s">
        <v>203</v>
      </c>
      <c r="H34" s="2" t="s">
        <v>204</v>
      </c>
      <c r="I34" s="2">
        <v>6</v>
      </c>
      <c r="J34" s="4">
        <v>0.22900000000000001</v>
      </c>
      <c r="K34" s="3">
        <v>17797.39</v>
      </c>
      <c r="L34" s="3">
        <v>23000</v>
      </c>
      <c r="M34" s="3">
        <v>0</v>
      </c>
      <c r="N34" s="10" t="s">
        <v>57</v>
      </c>
      <c r="O34" s="2" t="s">
        <v>37</v>
      </c>
      <c r="P34" s="2" t="s">
        <v>38</v>
      </c>
      <c r="Q34" s="2" t="s">
        <v>77</v>
      </c>
      <c r="R34" s="3">
        <v>211000</v>
      </c>
    </row>
    <row r="35" spans="1:18" x14ac:dyDescent="0.35">
      <c r="A35" s="6" t="s">
        <v>205</v>
      </c>
      <c r="B35" s="6" t="s">
        <v>206</v>
      </c>
      <c r="C35" s="6" t="s">
        <v>42</v>
      </c>
      <c r="D35" s="6" t="s">
        <v>43</v>
      </c>
      <c r="E35" s="6" t="s">
        <v>64</v>
      </c>
      <c r="F35" s="7">
        <v>200000</v>
      </c>
      <c r="G35" s="6" t="s">
        <v>207</v>
      </c>
      <c r="H35" s="6" t="s">
        <v>208</v>
      </c>
      <c r="I35" s="6">
        <v>12</v>
      </c>
      <c r="J35" s="8">
        <v>0.21199999999999999</v>
      </c>
      <c r="K35" s="7">
        <v>18641.96</v>
      </c>
      <c r="L35" s="7">
        <v>0</v>
      </c>
      <c r="M35" s="7">
        <v>0</v>
      </c>
      <c r="N35" s="9" t="s">
        <v>36</v>
      </c>
      <c r="O35" s="6" t="s">
        <v>123</v>
      </c>
      <c r="P35" s="6" t="s">
        <v>48</v>
      </c>
      <c r="Q35" s="6" t="s">
        <v>86</v>
      </c>
      <c r="R35" s="7">
        <v>261000</v>
      </c>
    </row>
    <row r="36" spans="1:18" x14ac:dyDescent="0.35">
      <c r="A36" s="2" t="s">
        <v>209</v>
      </c>
      <c r="B36" s="2" t="s">
        <v>210</v>
      </c>
      <c r="C36" s="2" t="s">
        <v>52</v>
      </c>
      <c r="D36" s="2" t="s">
        <v>53</v>
      </c>
      <c r="E36" s="2" t="s">
        <v>73</v>
      </c>
      <c r="F36" s="3">
        <v>1000000</v>
      </c>
      <c r="G36" s="2" t="s">
        <v>211</v>
      </c>
      <c r="H36" s="2" t="s">
        <v>212</v>
      </c>
      <c r="I36" s="2">
        <v>18</v>
      </c>
      <c r="J36" s="4">
        <v>0.191</v>
      </c>
      <c r="K36" s="3">
        <v>64331.37</v>
      </c>
      <c r="L36" s="3">
        <v>819000</v>
      </c>
      <c r="M36" s="3">
        <v>159</v>
      </c>
      <c r="N36" s="12" t="s">
        <v>140</v>
      </c>
      <c r="O36" s="2" t="s">
        <v>37</v>
      </c>
      <c r="P36" s="2" t="s">
        <v>58</v>
      </c>
      <c r="Q36" s="2" t="s">
        <v>95</v>
      </c>
      <c r="R36" s="3">
        <v>2358000</v>
      </c>
    </row>
    <row r="37" spans="1:18" x14ac:dyDescent="0.35">
      <c r="A37" s="6" t="s">
        <v>213</v>
      </c>
      <c r="B37" s="6" t="s">
        <v>214</v>
      </c>
      <c r="C37" s="6" t="s">
        <v>62</v>
      </c>
      <c r="D37" s="6" t="s">
        <v>63</v>
      </c>
      <c r="E37" s="6" t="s">
        <v>33</v>
      </c>
      <c r="F37" s="7">
        <v>75000</v>
      </c>
      <c r="G37" s="6" t="s">
        <v>215</v>
      </c>
      <c r="H37" s="6" t="s">
        <v>216</v>
      </c>
      <c r="I37" s="6">
        <v>24</v>
      </c>
      <c r="J37" s="8">
        <v>0.223</v>
      </c>
      <c r="K37" s="7">
        <v>3901.98</v>
      </c>
      <c r="L37" s="7">
        <v>0</v>
      </c>
      <c r="M37" s="7">
        <v>0</v>
      </c>
      <c r="N37" s="9" t="s">
        <v>36</v>
      </c>
      <c r="O37" s="6" t="s">
        <v>123</v>
      </c>
      <c r="P37" s="6" t="s">
        <v>67</v>
      </c>
      <c r="Q37" s="6" t="s">
        <v>39</v>
      </c>
      <c r="R37" s="7">
        <v>80000</v>
      </c>
    </row>
    <row r="38" spans="1:18" x14ac:dyDescent="0.35">
      <c r="A38" s="2" t="s">
        <v>217</v>
      </c>
      <c r="B38" s="2" t="s">
        <v>218</v>
      </c>
      <c r="C38" s="2" t="s">
        <v>71</v>
      </c>
      <c r="D38" s="2" t="s">
        <v>72</v>
      </c>
      <c r="E38" s="2" t="s">
        <v>44</v>
      </c>
      <c r="F38" s="3">
        <v>250000</v>
      </c>
      <c r="G38" s="2" t="s">
        <v>219</v>
      </c>
      <c r="H38" s="2" t="s">
        <v>220</v>
      </c>
      <c r="I38" s="2">
        <v>12</v>
      </c>
      <c r="J38" s="4">
        <v>0.20399999999999999</v>
      </c>
      <c r="K38" s="3">
        <v>23206.51</v>
      </c>
      <c r="L38" s="3">
        <v>183000</v>
      </c>
      <c r="M38" s="3">
        <v>0</v>
      </c>
      <c r="N38" s="10" t="s">
        <v>57</v>
      </c>
      <c r="O38" s="2" t="s">
        <v>47</v>
      </c>
      <c r="P38" s="2" t="s">
        <v>76</v>
      </c>
      <c r="Q38" s="2" t="s">
        <v>49</v>
      </c>
      <c r="R38" s="3">
        <v>348000</v>
      </c>
    </row>
    <row r="39" spans="1:18" x14ac:dyDescent="0.35">
      <c r="A39" s="6" t="s">
        <v>221</v>
      </c>
      <c r="B39" s="6" t="s">
        <v>222</v>
      </c>
      <c r="C39" s="6" t="s">
        <v>80</v>
      </c>
      <c r="D39" s="6" t="s">
        <v>81</v>
      </c>
      <c r="E39" s="6" t="s">
        <v>54</v>
      </c>
      <c r="F39" s="7">
        <v>500000</v>
      </c>
      <c r="G39" s="6" t="s">
        <v>223</v>
      </c>
      <c r="H39" s="6" t="s">
        <v>224</v>
      </c>
      <c r="I39" s="6">
        <v>24</v>
      </c>
      <c r="J39" s="8">
        <v>0.19600000000000001</v>
      </c>
      <c r="K39" s="7">
        <v>25350.3</v>
      </c>
      <c r="L39" s="7">
        <v>452000</v>
      </c>
      <c r="M39" s="7">
        <v>0</v>
      </c>
      <c r="N39" s="10" t="s">
        <v>57</v>
      </c>
      <c r="O39" s="6" t="s">
        <v>47</v>
      </c>
      <c r="P39" s="6" t="s">
        <v>85</v>
      </c>
      <c r="Q39" s="6" t="s">
        <v>59</v>
      </c>
      <c r="R39" s="7">
        <v>584000</v>
      </c>
    </row>
    <row r="40" spans="1:18" x14ac:dyDescent="0.35">
      <c r="A40" s="2" t="s">
        <v>225</v>
      </c>
      <c r="B40" s="2" t="s">
        <v>226</v>
      </c>
      <c r="C40" s="2" t="s">
        <v>89</v>
      </c>
      <c r="D40" s="2" t="s">
        <v>90</v>
      </c>
      <c r="E40" s="2" t="s">
        <v>64</v>
      </c>
      <c r="F40" s="3">
        <v>100000</v>
      </c>
      <c r="G40" s="2" t="s">
        <v>227</v>
      </c>
      <c r="H40" s="2" t="s">
        <v>228</v>
      </c>
      <c r="I40" s="2">
        <v>6</v>
      </c>
      <c r="J40" s="4">
        <v>0.223</v>
      </c>
      <c r="K40" s="3">
        <v>17767.32</v>
      </c>
      <c r="L40" s="3">
        <v>23000</v>
      </c>
      <c r="M40" s="3">
        <v>0</v>
      </c>
      <c r="N40" s="10" t="s">
        <v>57</v>
      </c>
      <c r="O40" s="2" t="s">
        <v>47</v>
      </c>
      <c r="P40" s="2" t="s">
        <v>94</v>
      </c>
      <c r="Q40" s="2" t="s">
        <v>68</v>
      </c>
      <c r="R40" s="3">
        <v>187000</v>
      </c>
    </row>
    <row r="41" spans="1:18" x14ac:dyDescent="0.35">
      <c r="A41" s="6" t="s">
        <v>229</v>
      </c>
      <c r="B41" s="6" t="s">
        <v>230</v>
      </c>
      <c r="C41" s="6" t="s">
        <v>98</v>
      </c>
      <c r="D41" s="6" t="s">
        <v>99</v>
      </c>
      <c r="E41" s="6" t="s">
        <v>73</v>
      </c>
      <c r="F41" s="7">
        <v>100000</v>
      </c>
      <c r="G41" s="6" t="s">
        <v>231</v>
      </c>
      <c r="H41" s="6" t="s">
        <v>232</v>
      </c>
      <c r="I41" s="6">
        <v>18</v>
      </c>
      <c r="J41" s="8">
        <v>0.17599999999999999</v>
      </c>
      <c r="K41" s="7">
        <v>6361.53</v>
      </c>
      <c r="L41" s="7">
        <v>93000</v>
      </c>
      <c r="M41" s="7">
        <v>0</v>
      </c>
      <c r="N41" s="10" t="s">
        <v>57</v>
      </c>
      <c r="O41" s="6" t="s">
        <v>47</v>
      </c>
      <c r="P41" s="6" t="s">
        <v>102</v>
      </c>
      <c r="Q41" s="6" t="s">
        <v>77</v>
      </c>
      <c r="R41" s="7">
        <v>240000</v>
      </c>
    </row>
    <row r="42" spans="1:18" x14ac:dyDescent="0.35">
      <c r="A42" s="2" t="s">
        <v>233</v>
      </c>
      <c r="B42" s="2" t="s">
        <v>234</v>
      </c>
      <c r="C42" s="2" t="s">
        <v>31</v>
      </c>
      <c r="D42" s="2" t="s">
        <v>32</v>
      </c>
      <c r="E42" s="2" t="s">
        <v>33</v>
      </c>
      <c r="F42" s="3">
        <v>50000</v>
      </c>
      <c r="G42" s="2" t="s">
        <v>235</v>
      </c>
      <c r="H42" s="2" t="s">
        <v>236</v>
      </c>
      <c r="I42" s="2">
        <v>18</v>
      </c>
      <c r="J42" s="4">
        <v>0.161</v>
      </c>
      <c r="K42" s="3">
        <v>3145.19</v>
      </c>
      <c r="L42" s="3">
        <v>0</v>
      </c>
      <c r="M42" s="3">
        <v>0</v>
      </c>
      <c r="N42" s="5" t="s">
        <v>36</v>
      </c>
      <c r="O42" s="2" t="s">
        <v>37</v>
      </c>
      <c r="P42" s="2" t="s">
        <v>38</v>
      </c>
      <c r="Q42" s="2" t="s">
        <v>86</v>
      </c>
      <c r="R42" s="3">
        <v>69000</v>
      </c>
    </row>
    <row r="43" spans="1:18" x14ac:dyDescent="0.35">
      <c r="A43" s="6" t="s">
        <v>237</v>
      </c>
      <c r="B43" s="6" t="s">
        <v>238</v>
      </c>
      <c r="C43" s="6" t="s">
        <v>42</v>
      </c>
      <c r="D43" s="6" t="s">
        <v>43</v>
      </c>
      <c r="E43" s="6" t="s">
        <v>44</v>
      </c>
      <c r="F43" s="7">
        <v>75000</v>
      </c>
      <c r="G43" s="6" t="s">
        <v>239</v>
      </c>
      <c r="H43" s="6" t="s">
        <v>240</v>
      </c>
      <c r="I43" s="6">
        <v>36</v>
      </c>
      <c r="J43" s="8">
        <v>0.22800000000000001</v>
      </c>
      <c r="K43" s="7">
        <v>2895.42</v>
      </c>
      <c r="L43" s="7">
        <v>55000</v>
      </c>
      <c r="M43" s="7">
        <v>239</v>
      </c>
      <c r="N43" s="11" t="s">
        <v>84</v>
      </c>
      <c r="O43" s="6" t="s">
        <v>123</v>
      </c>
      <c r="P43" s="6" t="s">
        <v>48</v>
      </c>
      <c r="Q43" s="6" t="s">
        <v>95</v>
      </c>
      <c r="R43" s="7">
        <v>185000</v>
      </c>
    </row>
    <row r="44" spans="1:18" x14ac:dyDescent="0.35">
      <c r="A44" s="2" t="s">
        <v>241</v>
      </c>
      <c r="B44" s="2" t="s">
        <v>242</v>
      </c>
      <c r="C44" s="2" t="s">
        <v>52</v>
      </c>
      <c r="D44" s="2" t="s">
        <v>53</v>
      </c>
      <c r="E44" s="2" t="s">
        <v>54</v>
      </c>
      <c r="F44" s="3">
        <v>150000</v>
      </c>
      <c r="G44" s="2" t="s">
        <v>243</v>
      </c>
      <c r="H44" s="2" t="s">
        <v>244</v>
      </c>
      <c r="I44" s="2">
        <v>12</v>
      </c>
      <c r="J44" s="4">
        <v>0.23799999999999999</v>
      </c>
      <c r="K44" s="3">
        <v>14169.43</v>
      </c>
      <c r="L44" s="3">
        <v>0</v>
      </c>
      <c r="M44" s="3">
        <v>0</v>
      </c>
      <c r="N44" s="5" t="s">
        <v>36</v>
      </c>
      <c r="O44" s="2" t="s">
        <v>37</v>
      </c>
      <c r="P44" s="2" t="s">
        <v>58</v>
      </c>
      <c r="Q44" s="2" t="s">
        <v>39</v>
      </c>
      <c r="R44" s="3">
        <v>332000</v>
      </c>
    </row>
    <row r="45" spans="1:18" x14ac:dyDescent="0.35">
      <c r="A45" s="6" t="s">
        <v>245</v>
      </c>
      <c r="B45" s="6" t="s">
        <v>246</v>
      </c>
      <c r="C45" s="6" t="s">
        <v>62</v>
      </c>
      <c r="D45" s="6" t="s">
        <v>63</v>
      </c>
      <c r="E45" s="6" t="s">
        <v>64</v>
      </c>
      <c r="F45" s="7">
        <v>300000</v>
      </c>
      <c r="G45" s="6" t="s">
        <v>247</v>
      </c>
      <c r="H45" s="6" t="s">
        <v>248</v>
      </c>
      <c r="I45" s="6">
        <v>12</v>
      </c>
      <c r="J45" s="8">
        <v>0.214</v>
      </c>
      <c r="K45" s="7">
        <v>27991.759999999998</v>
      </c>
      <c r="L45" s="7">
        <v>0</v>
      </c>
      <c r="M45" s="7">
        <v>0</v>
      </c>
      <c r="N45" s="9" t="s">
        <v>36</v>
      </c>
      <c r="O45" s="6" t="s">
        <v>37</v>
      </c>
      <c r="P45" s="6" t="s">
        <v>67</v>
      </c>
      <c r="Q45" s="6" t="s">
        <v>49</v>
      </c>
      <c r="R45" s="7">
        <v>449000</v>
      </c>
    </row>
    <row r="46" spans="1:18" x14ac:dyDescent="0.35">
      <c r="A46" s="2" t="s">
        <v>249</v>
      </c>
      <c r="B46" s="2" t="s">
        <v>250</v>
      </c>
      <c r="C46" s="2" t="s">
        <v>71</v>
      </c>
      <c r="D46" s="2" t="s">
        <v>72</v>
      </c>
      <c r="E46" s="2" t="s">
        <v>73</v>
      </c>
      <c r="F46" s="3">
        <v>300000</v>
      </c>
      <c r="G46" s="2" t="s">
        <v>251</v>
      </c>
      <c r="H46" s="2" t="s">
        <v>252</v>
      </c>
      <c r="I46" s="2">
        <v>12</v>
      </c>
      <c r="J46" s="4">
        <v>0.16700000000000001</v>
      </c>
      <c r="K46" s="3">
        <v>27318.73</v>
      </c>
      <c r="L46" s="3">
        <v>58000</v>
      </c>
      <c r="M46" s="3">
        <v>0</v>
      </c>
      <c r="N46" s="10" t="s">
        <v>57</v>
      </c>
      <c r="O46" s="2" t="s">
        <v>123</v>
      </c>
      <c r="P46" s="2" t="s">
        <v>76</v>
      </c>
      <c r="Q46" s="2" t="s">
        <v>59</v>
      </c>
      <c r="R46" s="3">
        <v>654000</v>
      </c>
    </row>
    <row r="47" spans="1:18" x14ac:dyDescent="0.35">
      <c r="A47" s="6" t="s">
        <v>253</v>
      </c>
      <c r="B47" s="6" t="s">
        <v>254</v>
      </c>
      <c r="C47" s="6" t="s">
        <v>80</v>
      </c>
      <c r="D47" s="6" t="s">
        <v>81</v>
      </c>
      <c r="E47" s="6" t="s">
        <v>33</v>
      </c>
      <c r="F47" s="7">
        <v>50000</v>
      </c>
      <c r="G47" s="6" t="s">
        <v>255</v>
      </c>
      <c r="H47" s="6" t="s">
        <v>256</v>
      </c>
      <c r="I47" s="6">
        <v>24</v>
      </c>
      <c r="J47" s="8">
        <v>0.16200000000000001</v>
      </c>
      <c r="K47" s="7">
        <v>2452.94</v>
      </c>
      <c r="L47" s="7">
        <v>40000</v>
      </c>
      <c r="M47" s="7">
        <v>266</v>
      </c>
      <c r="N47" s="11" t="s">
        <v>84</v>
      </c>
      <c r="O47" s="6" t="s">
        <v>148</v>
      </c>
      <c r="P47" s="6" t="s">
        <v>85</v>
      </c>
      <c r="Q47" s="6" t="s">
        <v>68</v>
      </c>
      <c r="R47" s="7">
        <v>76000</v>
      </c>
    </row>
    <row r="48" spans="1:18" x14ac:dyDescent="0.35">
      <c r="A48" s="2" t="s">
        <v>257</v>
      </c>
      <c r="B48" s="2" t="s">
        <v>258</v>
      </c>
      <c r="C48" s="2" t="s">
        <v>89</v>
      </c>
      <c r="D48" s="2" t="s">
        <v>90</v>
      </c>
      <c r="E48" s="2" t="s">
        <v>44</v>
      </c>
      <c r="F48" s="3">
        <v>150000</v>
      </c>
      <c r="G48" s="2" t="s">
        <v>259</v>
      </c>
      <c r="H48" s="2" t="s">
        <v>260</v>
      </c>
      <c r="I48" s="2">
        <v>6</v>
      </c>
      <c r="J48" s="4">
        <v>0.20599999999999999</v>
      </c>
      <c r="K48" s="3">
        <v>26523.39</v>
      </c>
      <c r="L48" s="3">
        <v>51000</v>
      </c>
      <c r="M48" s="3">
        <v>0</v>
      </c>
      <c r="N48" s="10" t="s">
        <v>57</v>
      </c>
      <c r="O48" s="2" t="s">
        <v>37</v>
      </c>
      <c r="P48" s="2" t="s">
        <v>94</v>
      </c>
      <c r="Q48" s="2" t="s">
        <v>77</v>
      </c>
      <c r="R48" s="3">
        <v>240000</v>
      </c>
    </row>
    <row r="49" spans="1:18" x14ac:dyDescent="0.35">
      <c r="A49" s="6" t="s">
        <v>261</v>
      </c>
      <c r="B49" s="6" t="s">
        <v>262</v>
      </c>
      <c r="C49" s="6" t="s">
        <v>98</v>
      </c>
      <c r="D49" s="6" t="s">
        <v>99</v>
      </c>
      <c r="E49" s="6" t="s">
        <v>54</v>
      </c>
      <c r="F49" s="7">
        <v>75000</v>
      </c>
      <c r="G49" s="6" t="s">
        <v>263</v>
      </c>
      <c r="H49" s="6" t="s">
        <v>264</v>
      </c>
      <c r="I49" s="6">
        <v>18</v>
      </c>
      <c r="J49" s="8">
        <v>0.17499999999999999</v>
      </c>
      <c r="K49" s="7">
        <v>4767.58</v>
      </c>
      <c r="L49" s="7">
        <v>70000</v>
      </c>
      <c r="M49" s="7">
        <v>291</v>
      </c>
      <c r="N49" s="11" t="s">
        <v>84</v>
      </c>
      <c r="O49" s="6" t="s">
        <v>148</v>
      </c>
      <c r="P49" s="6" t="s">
        <v>102</v>
      </c>
      <c r="Q49" s="6" t="s">
        <v>86</v>
      </c>
      <c r="R49" s="7">
        <v>120000</v>
      </c>
    </row>
    <row r="50" spans="1:18" x14ac:dyDescent="0.35">
      <c r="A50" s="2" t="s">
        <v>265</v>
      </c>
      <c r="B50" s="2" t="s">
        <v>266</v>
      </c>
      <c r="C50" s="2" t="s">
        <v>31</v>
      </c>
      <c r="D50" s="2" t="s">
        <v>32</v>
      </c>
      <c r="E50" s="2" t="s">
        <v>64</v>
      </c>
      <c r="F50" s="3">
        <v>500000</v>
      </c>
      <c r="G50" s="2" t="s">
        <v>267</v>
      </c>
      <c r="H50" s="2" t="s">
        <v>268</v>
      </c>
      <c r="I50" s="2">
        <v>6</v>
      </c>
      <c r="J50" s="4">
        <v>0.152</v>
      </c>
      <c r="K50" s="3">
        <v>87066.53</v>
      </c>
      <c r="L50" s="3">
        <v>126000</v>
      </c>
      <c r="M50" s="3">
        <v>0</v>
      </c>
      <c r="N50" s="10" t="s">
        <v>57</v>
      </c>
      <c r="O50" s="2" t="s">
        <v>123</v>
      </c>
      <c r="P50" s="2" t="s">
        <v>38</v>
      </c>
      <c r="Q50" s="2" t="s">
        <v>95</v>
      </c>
      <c r="R50" s="3">
        <v>1228000</v>
      </c>
    </row>
    <row r="51" spans="1:18" x14ac:dyDescent="0.35">
      <c r="A51" s="6" t="s">
        <v>269</v>
      </c>
      <c r="B51" s="6" t="s">
        <v>270</v>
      </c>
      <c r="C51" s="6" t="s">
        <v>42</v>
      </c>
      <c r="D51" s="6" t="s">
        <v>43</v>
      </c>
      <c r="E51" s="6" t="s">
        <v>73</v>
      </c>
      <c r="F51" s="7">
        <v>200000</v>
      </c>
      <c r="G51" s="6" t="s">
        <v>271</v>
      </c>
      <c r="H51" s="6" t="s">
        <v>272</v>
      </c>
      <c r="I51" s="6">
        <v>6</v>
      </c>
      <c r="J51" s="8">
        <v>0.2</v>
      </c>
      <c r="K51" s="7">
        <v>35304.559999999998</v>
      </c>
      <c r="L51" s="7">
        <v>73000</v>
      </c>
      <c r="M51" s="7">
        <v>207</v>
      </c>
      <c r="N51" s="11" t="s">
        <v>84</v>
      </c>
      <c r="O51" s="6" t="s">
        <v>47</v>
      </c>
      <c r="P51" s="6" t="s">
        <v>48</v>
      </c>
      <c r="Q51" s="6" t="s">
        <v>39</v>
      </c>
      <c r="R51" s="7">
        <v>419000</v>
      </c>
    </row>
  </sheetData>
  <autoFilter ref="A1:R51" xr:uid="{00000000-0001-0000-0100-000000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FA3"/>
  </sheetPr>
  <dimension ref="A1:K29"/>
  <sheetViews>
    <sheetView showGridLines="0" topLeftCell="A8" zoomScaleNormal="100" workbookViewId="0">
      <selection activeCell="G9" sqref="G9"/>
    </sheetView>
  </sheetViews>
  <sheetFormatPr defaultColWidth="8.6328125" defaultRowHeight="14.5" x14ac:dyDescent="0.35"/>
  <cols>
    <col min="1" max="1" width="3" customWidth="1"/>
    <col min="2" max="2" width="20" customWidth="1"/>
    <col min="3" max="3" width="22.54296875" customWidth="1"/>
    <col min="4" max="4" width="22" customWidth="1"/>
    <col min="5" max="5" width="14" customWidth="1"/>
    <col min="6" max="6" width="3" customWidth="1"/>
    <col min="7" max="7" width="20" customWidth="1"/>
    <col min="8" max="8" width="14" customWidth="1"/>
    <col min="9" max="9" width="22" customWidth="1"/>
    <col min="10" max="10" width="14" customWidth="1"/>
    <col min="11" max="11" width="3" customWidth="1"/>
  </cols>
  <sheetData>
    <row r="1" spans="1:11" ht="43.5" customHeight="1" x14ac:dyDescent="0.35">
      <c r="A1" s="89" t="s">
        <v>298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1" ht="18" customHeight="1" x14ac:dyDescent="0.35">
      <c r="A2" s="90" t="s">
        <v>299</v>
      </c>
      <c r="B2" s="90"/>
      <c r="C2" s="90"/>
      <c r="D2" s="90"/>
      <c r="E2" s="90"/>
      <c r="F2" s="90"/>
      <c r="G2" s="90"/>
      <c r="H2" s="90"/>
      <c r="I2" s="90"/>
      <c r="J2" s="90"/>
      <c r="K2" s="90"/>
    </row>
    <row r="4" spans="1:11" ht="25.5" customHeight="1" x14ac:dyDescent="0.35">
      <c r="B4" s="92" t="s">
        <v>300</v>
      </c>
      <c r="C4" s="92"/>
      <c r="D4" s="92"/>
      <c r="E4" s="92"/>
      <c r="G4" s="94" t="s">
        <v>301</v>
      </c>
      <c r="H4" s="94"/>
      <c r="I4" s="94"/>
      <c r="J4" s="94"/>
    </row>
    <row r="5" spans="1:11" ht="21.75" customHeight="1" x14ac:dyDescent="0.35">
      <c r="B5" s="20" t="s">
        <v>14</v>
      </c>
      <c r="C5" s="20" t="s">
        <v>302</v>
      </c>
      <c r="D5" s="20" t="s">
        <v>303</v>
      </c>
      <c r="E5" s="20" t="s">
        <v>304</v>
      </c>
      <c r="G5" s="20" t="s">
        <v>305</v>
      </c>
      <c r="H5" s="20" t="s">
        <v>306</v>
      </c>
      <c r="I5" s="20" t="s">
        <v>303</v>
      </c>
      <c r="J5" s="20" t="s">
        <v>304</v>
      </c>
    </row>
    <row r="6" spans="1:11" x14ac:dyDescent="0.35">
      <c r="B6" s="21" t="s">
        <v>32</v>
      </c>
      <c r="C6" s="22">
        <f>COUNTIF('Loan Book'!D2:D51,B6)</f>
        <v>7</v>
      </c>
      <c r="D6" s="22">
        <f>SUMIF('Loan Book'!D2:D51,B6,'Loan Book'!L2:L51)</f>
        <v>353000</v>
      </c>
      <c r="E6" s="23">
        <f>IFERROR(D6/SUM(D6:D13),0)</f>
        <v>5.9648529908752961E-2</v>
      </c>
      <c r="G6" s="24" t="s">
        <v>93</v>
      </c>
      <c r="H6" s="22">
        <f>COUNTIF('Loan Book'!O2:O51,G6)</f>
        <v>8</v>
      </c>
      <c r="I6" s="22">
        <f>SUMIF('Loan Book'!O2:O51,G6,'Loan Book'!L2:L51)</f>
        <v>1041000</v>
      </c>
      <c r="J6" s="23">
        <f>IFERROR(I6/SUM(I6:I10),0)</f>
        <v>0.17590402162892868</v>
      </c>
    </row>
    <row r="7" spans="1:11" x14ac:dyDescent="0.35">
      <c r="B7" s="25" t="s">
        <v>43</v>
      </c>
      <c r="C7" s="26">
        <f>COUNTIF('Loan Book'!D2:D51,B7)</f>
        <v>7</v>
      </c>
      <c r="D7" s="26">
        <f>SUMIF('Loan Book'!D2:D51,B7,'Loan Book'!L2:L51)</f>
        <v>461000</v>
      </c>
      <c r="E7" s="27">
        <f>IFERROR(D7/SUM(D6:D13),0)</f>
        <v>7.7897938492734034E-2</v>
      </c>
      <c r="G7" s="28" t="s">
        <v>47</v>
      </c>
      <c r="H7" s="26">
        <f>COUNTIF('Loan Book'!O2:O51,G7)</f>
        <v>12</v>
      </c>
      <c r="I7" s="26">
        <f>SUMIF('Loan Book'!O2:O51,G7,'Loan Book'!L2:L51)</f>
        <v>1117000</v>
      </c>
      <c r="J7" s="27">
        <f>IFERROR(I7/SUM(I6:I10),0)</f>
        <v>0.18874619803987833</v>
      </c>
    </row>
    <row r="8" spans="1:11" x14ac:dyDescent="0.35">
      <c r="B8" s="21" t="s">
        <v>53</v>
      </c>
      <c r="C8" s="22">
        <f>COUNTIF('Loan Book'!D2:D51,B8)</f>
        <v>6</v>
      </c>
      <c r="D8" s="22">
        <f>SUMIF('Loan Book'!D2:D51,B8,'Loan Book'!L2:L51)</f>
        <v>1200000</v>
      </c>
      <c r="E8" s="23">
        <f>IFERROR(D8/SUM(D6:D13),0)</f>
        <v>0.20277120648867861</v>
      </c>
      <c r="G8" s="29" t="s">
        <v>37</v>
      </c>
      <c r="H8" s="22">
        <f>COUNTIF('Loan Book'!O2:O51,G8)</f>
        <v>15</v>
      </c>
      <c r="I8" s="22">
        <f>SUMIF('Loan Book'!O2:O51,G8,'Loan Book'!L2:L51)</f>
        <v>2235000</v>
      </c>
      <c r="J8" s="23">
        <f>IFERROR(I8/SUM(I6:I10),0)</f>
        <v>0.37766137208516393</v>
      </c>
    </row>
    <row r="9" spans="1:11" x14ac:dyDescent="0.35">
      <c r="B9" s="25" t="s">
        <v>63</v>
      </c>
      <c r="C9" s="26">
        <f>COUNTIF('Loan Book'!D2:D51,B9)</f>
        <v>6</v>
      </c>
      <c r="D9" s="26">
        <f>SUMIF('Loan Book'!D2:D51,B9,'Loan Book'!L2:L51)</f>
        <v>330000</v>
      </c>
      <c r="E9" s="27">
        <f>IFERROR(D9/SUM(D6:D13),0)</f>
        <v>5.5762081784386616E-2</v>
      </c>
      <c r="G9" s="30" t="s">
        <v>123</v>
      </c>
      <c r="H9" s="26">
        <f>COUNTIF('Loan Book'!O2:O51,G9)</f>
        <v>10</v>
      </c>
      <c r="I9" s="26">
        <f>SUMIF('Loan Book'!O2:O51,G9,'Loan Book'!L2:L51)</f>
        <v>1059000</v>
      </c>
      <c r="J9" s="27">
        <f>IFERROR(I9/SUM(I6:I10),0)</f>
        <v>0.17894558972625887</v>
      </c>
    </row>
    <row r="10" spans="1:11" x14ac:dyDescent="0.35">
      <c r="B10" s="21" t="s">
        <v>72</v>
      </c>
      <c r="C10" s="22">
        <f>COUNTIF('Loan Book'!D2:D51,B10)</f>
        <v>6</v>
      </c>
      <c r="D10" s="22">
        <f>SUMIF('Loan Book'!D2:D51,B10,'Loan Book'!L2:L51)</f>
        <v>530000</v>
      </c>
      <c r="E10" s="23">
        <f>IFERROR(D10/SUM(D6:D13),0)</f>
        <v>8.9557282865833046E-2</v>
      </c>
      <c r="G10" s="31" t="s">
        <v>148</v>
      </c>
      <c r="H10" s="22">
        <f>COUNTIF('Loan Book'!O2:O51,G10)</f>
        <v>5</v>
      </c>
      <c r="I10" s="22">
        <f>SUMIF('Loan Book'!O2:O51,G10,'Loan Book'!L2:L51)</f>
        <v>466000</v>
      </c>
      <c r="J10" s="23">
        <f>IFERROR(I10/SUM(I6:I10),0)</f>
        <v>7.8742818519770191E-2</v>
      </c>
    </row>
    <row r="11" spans="1:11" x14ac:dyDescent="0.35">
      <c r="B11" s="25" t="s">
        <v>81</v>
      </c>
      <c r="C11" s="26">
        <f>COUNTIF('Loan Book'!D2:D51,B11)</f>
        <v>6</v>
      </c>
      <c r="D11" s="26">
        <f>SUMIF('Loan Book'!D2:D51,B11,'Loan Book'!L2:L51)</f>
        <v>1256000</v>
      </c>
      <c r="E11" s="27">
        <f>IFERROR(D11/SUM(D6:D13),0)</f>
        <v>0.2122338627914836</v>
      </c>
      <c r="G11" s="32" t="s">
        <v>307</v>
      </c>
      <c r="H11" s="33">
        <f>SUM(H6:H10)</f>
        <v>50</v>
      </c>
      <c r="I11" s="33">
        <f>SUM(I6:I10)</f>
        <v>5918000</v>
      </c>
      <c r="J11" s="34">
        <f>SUM(J6:J10)</f>
        <v>0.99999999999999989</v>
      </c>
    </row>
    <row r="12" spans="1:11" x14ac:dyDescent="0.35">
      <c r="B12" s="21" t="s">
        <v>90</v>
      </c>
      <c r="C12" s="22">
        <f>COUNTIF('Loan Book'!D2:D51,B12)</f>
        <v>6</v>
      </c>
      <c r="D12" s="22">
        <f>SUMIF('Loan Book'!D2:D51,B12,'Loan Book'!L2:L51)</f>
        <v>435000</v>
      </c>
      <c r="E12" s="23">
        <f>IFERROR(D12/SUM(D6:D13),0)</f>
        <v>7.3504562352145988E-2</v>
      </c>
    </row>
    <row r="13" spans="1:11" ht="25.5" customHeight="1" x14ac:dyDescent="0.35">
      <c r="B13" s="25" t="s">
        <v>99</v>
      </c>
      <c r="C13" s="26">
        <f>COUNTIF('Loan Book'!D2:D51,B13)</f>
        <v>6</v>
      </c>
      <c r="D13" s="26">
        <f>SUMIF('Loan Book'!D2:D51,B13,'Loan Book'!L2:L51)</f>
        <v>1353000</v>
      </c>
      <c r="E13" s="27">
        <f>IFERROR(D13/SUM(D6:D13),0)</f>
        <v>0.22862453531598512</v>
      </c>
      <c r="G13" s="95" t="s">
        <v>308</v>
      </c>
      <c r="H13" s="95"/>
      <c r="I13" s="95"/>
      <c r="J13" s="95"/>
    </row>
    <row r="14" spans="1:11" x14ac:dyDescent="0.35">
      <c r="B14" s="32" t="s">
        <v>307</v>
      </c>
      <c r="C14" s="33">
        <f>SUM(C6:C13)</f>
        <v>50</v>
      </c>
      <c r="D14" s="33">
        <f>SUM(D6:D13)</f>
        <v>5918000</v>
      </c>
      <c r="E14" s="34">
        <f>SUM(E6:E13)</f>
        <v>1</v>
      </c>
      <c r="G14" s="20" t="s">
        <v>309</v>
      </c>
      <c r="H14" s="20" t="s">
        <v>306</v>
      </c>
      <c r="I14" s="20" t="s">
        <v>303</v>
      </c>
      <c r="J14" s="20" t="s">
        <v>310</v>
      </c>
    </row>
    <row r="15" spans="1:11" x14ac:dyDescent="0.35">
      <c r="G15" s="25" t="s">
        <v>311</v>
      </c>
      <c r="H15" s="26">
        <f>COUNTIF('Loan Book'!M2:M51,0)</f>
        <v>32</v>
      </c>
      <c r="I15" s="26">
        <f>SUMIF('Loan Book'!M2:M51,0,'Loan Book'!L2:L51)</f>
        <v>3284000</v>
      </c>
      <c r="J15" s="27">
        <f>IFERROR(I15/SUM(I15:I19),0)</f>
        <v>0.55491720175735049</v>
      </c>
    </row>
    <row r="16" spans="1:11" ht="25.5" customHeight="1" x14ac:dyDescent="0.35">
      <c r="B16" s="92" t="s">
        <v>312</v>
      </c>
      <c r="C16" s="92"/>
      <c r="D16" s="92"/>
      <c r="E16" s="92"/>
      <c r="G16" s="35" t="s">
        <v>313</v>
      </c>
      <c r="H16" s="36">
        <f>COUNTIFS('Loan Book'!M2:M51,"&gt;0",'Loan Book'!M2:M51,"&lt;=30")</f>
        <v>0</v>
      </c>
      <c r="I16" s="36">
        <f>SUMPRODUCT(('Loan Book'!M2:M51&gt;0)*('Loan Book'!M2:M51&lt;=30)*'Loan Book'!L2:L51)</f>
        <v>0</v>
      </c>
      <c r="J16" s="37">
        <f>IFERROR(I16/SUM(I15:I19),0)</f>
        <v>0</v>
      </c>
    </row>
    <row r="17" spans="2:10" ht="21.75" customHeight="1" x14ac:dyDescent="0.35">
      <c r="B17" s="20" t="s">
        <v>13</v>
      </c>
      <c r="C17" s="20" t="s">
        <v>302</v>
      </c>
      <c r="D17" s="20" t="s">
        <v>303</v>
      </c>
      <c r="E17" s="20" t="s">
        <v>304</v>
      </c>
      <c r="G17" s="35" t="s">
        <v>314</v>
      </c>
      <c r="H17" s="36">
        <f>COUNTIFS('Loan Book'!M2:M51,"&gt;30",'Loan Book'!M2:M51,"&lt;=60")</f>
        <v>0</v>
      </c>
      <c r="I17" s="36">
        <f>SUMPRODUCT(('Loan Book'!M2:M51&gt;30)*('Loan Book'!M2:M51&lt;=60)*'Loan Book'!L2:L51)</f>
        <v>0</v>
      </c>
      <c r="J17" s="37">
        <f>IFERROR(I17/SUM(I15:I19),0)</f>
        <v>0</v>
      </c>
    </row>
    <row r="18" spans="2:10" x14ac:dyDescent="0.35">
      <c r="B18" s="21" t="s">
        <v>31</v>
      </c>
      <c r="C18" s="22">
        <f>COUNTIF('Loan Book'!C2:C51,B18)</f>
        <v>7</v>
      </c>
      <c r="D18" s="22">
        <f>SUMIF('Loan Book'!C2:C51,B18,'Loan Book'!L2:L51)</f>
        <v>353000</v>
      </c>
      <c r="E18" s="23">
        <f>IFERROR(D18/SUM(D18:D25),0)</f>
        <v>0.15059721373601506</v>
      </c>
      <c r="G18" s="38" t="s">
        <v>315</v>
      </c>
      <c r="H18" s="39">
        <f>COUNTIFS('Loan Book'!M2:M51,"&gt;60",'Loan Book'!M2:M51,"&lt;=90")</f>
        <v>2</v>
      </c>
      <c r="I18" s="39">
        <f>SUMPRODUCT(('Loan Book'!M2:M51&gt;60)*('Loan Book'!M2:M51&lt;=90)*'Loan Book'!L2:L51)</f>
        <v>120000</v>
      </c>
      <c r="J18" s="40">
        <f>IFERROR(I18/SUM(I15:I19),0)</f>
        <v>2.0277120648867861E-2</v>
      </c>
    </row>
    <row r="19" spans="2:10" x14ac:dyDescent="0.35">
      <c r="B19" s="25" t="s">
        <v>42</v>
      </c>
      <c r="C19" s="26">
        <f>COUNTIF('Loan Book'!C2:C51,B19)</f>
        <v>7</v>
      </c>
      <c r="D19" s="26">
        <f>SUMIF('Loan Book'!C2:C51,B19,'Loan Book'!L2:L51)</f>
        <v>461000</v>
      </c>
      <c r="E19" s="27">
        <f>IFERROR(D19/SUM(D18:D25),0)</f>
        <v>0.19667228196119815</v>
      </c>
      <c r="G19" s="38" t="s">
        <v>316</v>
      </c>
      <c r="H19" s="39">
        <f>COUNTIFS('Loan Book'!M2:M51,"&gt;90")</f>
        <v>16</v>
      </c>
      <c r="I19" s="39">
        <f>SUMPRODUCT(('Loan Book'!M2:M51&gt;90)*'Loan Book'!L2:L51)</f>
        <v>2514000</v>
      </c>
      <c r="J19" s="40">
        <f>IFERROR(I19/SUM(I15:I19),0)</f>
        <v>0.42480567759378168</v>
      </c>
    </row>
    <row r="20" spans="2:10" x14ac:dyDescent="0.35">
      <c r="B20" s="21" t="s">
        <v>52</v>
      </c>
      <c r="C20" s="22">
        <f>COUNTIF('Loan Book'!C2:C51,B20)</f>
        <v>6</v>
      </c>
      <c r="D20" s="22">
        <f>SUMIF('Loan Book'!C2:C51,B20,'Loan Book'!L2:L51)</f>
        <v>1200000</v>
      </c>
      <c r="E20" s="23">
        <f>IFERROR(D20/SUM(D18:D25),0)</f>
        <v>0.51194520250203424</v>
      </c>
      <c r="G20" s="32" t="s">
        <v>307</v>
      </c>
      <c r="H20" s="33">
        <f>SUM(H15:H19)</f>
        <v>50</v>
      </c>
      <c r="I20" s="33">
        <f>SUM(I15:I19)</f>
        <v>5918000</v>
      </c>
      <c r="J20" s="34">
        <f>SUM(J15:J19)</f>
        <v>1</v>
      </c>
    </row>
    <row r="21" spans="2:10" x14ac:dyDescent="0.35">
      <c r="B21" s="25" t="s">
        <v>62</v>
      </c>
      <c r="C21" s="26">
        <f>COUNTIF('Loan Book'!C2:C51,B21)</f>
        <v>6</v>
      </c>
      <c r="D21" s="26">
        <f>SUMIF('Loan Book'!C2:C51,B21,'Loan Book'!L2:L51)</f>
        <v>330000</v>
      </c>
      <c r="E21" s="27">
        <f>IFERROR(D21/SUM(D18:D25),0)</f>
        <v>0.14078493068805942</v>
      </c>
    </row>
    <row r="22" spans="2:10" ht="25.5" customHeight="1" x14ac:dyDescent="0.35">
      <c r="B22" s="93" t="s">
        <v>317</v>
      </c>
      <c r="C22" s="93"/>
      <c r="D22" s="93"/>
      <c r="E22" s="93"/>
    </row>
    <row r="23" spans="2:10" ht="21.75" customHeight="1" x14ac:dyDescent="0.35">
      <c r="B23" s="20" t="s">
        <v>318</v>
      </c>
      <c r="C23" s="41" t="s">
        <v>319</v>
      </c>
      <c r="D23" s="41" t="s">
        <v>320</v>
      </c>
      <c r="E23" s="42" t="s">
        <v>321</v>
      </c>
    </row>
    <row r="24" spans="2:10" ht="29" customHeight="1" x14ac:dyDescent="0.35">
      <c r="B24" s="43" t="s">
        <v>322</v>
      </c>
      <c r="C24" s="44" t="s">
        <v>323</v>
      </c>
      <c r="D24" s="19" cm="1">
        <f t="array" ref="D24">IFERROR(SUMPRODUCT(('Loan Book'!M2:M51&gt;30)*'Loan Book'!L2:L51)/SUM('Loan Book'!L2:L51),0)</f>
        <v>0.44508279824264957</v>
      </c>
      <c r="E24" s="45" t="s">
        <v>324</v>
      </c>
    </row>
    <row r="25" spans="2:10" ht="27" customHeight="1" x14ac:dyDescent="0.35">
      <c r="B25" s="46" t="s">
        <v>325</v>
      </c>
      <c r="C25" s="47" t="s">
        <v>326</v>
      </c>
      <c r="D25" s="19">
        <f>IFERROR(SUMPRODUCT(('Loan Book'!M2:M51&gt;90)*'Loan Book'!L2:L51)/SUM('Loan Book'!L2:L51),0)</f>
        <v>0.42480567759378168</v>
      </c>
      <c r="E25" s="45" t="s">
        <v>327</v>
      </c>
    </row>
    <row r="26" spans="2:10" ht="26.5" customHeight="1" x14ac:dyDescent="0.35">
      <c r="B26" s="43" t="s">
        <v>328</v>
      </c>
      <c r="C26" s="75" t="s">
        <v>329</v>
      </c>
      <c r="D26" s="19">
        <f>IFERROR(COUNTIF('Loan Book'!N2:N51,"Written Off")/COUNTA('Loan Book'!A2:A51),0)</f>
        <v>0.08</v>
      </c>
      <c r="E26" s="45" t="s">
        <v>327</v>
      </c>
    </row>
    <row r="27" spans="2:10" ht="45.5" customHeight="1" x14ac:dyDescent="0.35">
      <c r="B27" s="46" t="s">
        <v>330</v>
      </c>
      <c r="C27" s="48" t="s">
        <v>331</v>
      </c>
      <c r="D27" s="19">
        <f>IFERROR(COUNTIF('Loan Book'!N2:N51,"Delinquent")/COUNTA('Loan Book'!A2:A51),0)</f>
        <v>0.28000000000000003</v>
      </c>
      <c r="E27" s="49" t="s">
        <v>332</v>
      </c>
    </row>
    <row r="28" spans="2:10" ht="26.5" customHeight="1" x14ac:dyDescent="0.35">
      <c r="B28" s="43" t="s">
        <v>333</v>
      </c>
      <c r="C28" s="50" t="s">
        <v>334</v>
      </c>
      <c r="D28" s="19">
        <f>IFERROR(SUMPRODUCT('Loan Book'!F2:F51,'Loan Book'!J2:J51)/SUM('Loan Book'!F2:F51),0)</f>
        <v>0.18555686274509803</v>
      </c>
      <c r="E28" s="49" t="s">
        <v>335</v>
      </c>
    </row>
    <row r="29" spans="2:10" ht="32" customHeight="1" x14ac:dyDescent="0.35">
      <c r="B29" s="46" t="s">
        <v>336</v>
      </c>
      <c r="C29" s="48" t="s">
        <v>337</v>
      </c>
      <c r="D29" s="19">
        <f>IFERROR(COUNTIF('Loan Book'!N2:N51,"Closed")/COUNTA('Loan Book'!A2:A51),0)</f>
        <v>0.2</v>
      </c>
      <c r="E29" s="49" t="s">
        <v>338</v>
      </c>
    </row>
  </sheetData>
  <mergeCells count="7">
    <mergeCell ref="B16:E16"/>
    <mergeCell ref="B22:E22"/>
    <mergeCell ref="A1:K1"/>
    <mergeCell ref="A2:K2"/>
    <mergeCell ref="B4:E4"/>
    <mergeCell ref="G4:J4"/>
    <mergeCell ref="G13:J1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7950B"/>
  </sheetPr>
  <dimension ref="A1:I19"/>
  <sheetViews>
    <sheetView showGridLines="0" zoomScaleNormal="100" workbookViewId="0">
      <selection activeCell="C16" sqref="C16"/>
    </sheetView>
  </sheetViews>
  <sheetFormatPr defaultColWidth="8.6328125" defaultRowHeight="14.5" x14ac:dyDescent="0.35"/>
  <cols>
    <col min="1" max="1" width="3" customWidth="1"/>
    <col min="2" max="2" width="20" customWidth="1"/>
    <col min="3" max="3" width="14" customWidth="1"/>
    <col min="4" max="5" width="22" customWidth="1"/>
    <col min="6" max="7" width="14" customWidth="1"/>
    <col min="8" max="8" width="18" customWidth="1"/>
    <col min="9" max="9" width="3" customWidth="1"/>
  </cols>
  <sheetData>
    <row r="1" spans="1:9" ht="43.5" customHeight="1" x14ac:dyDescent="0.35">
      <c r="A1" s="89" t="s">
        <v>339</v>
      </c>
      <c r="B1" s="89"/>
      <c r="C1" s="89"/>
      <c r="D1" s="89"/>
      <c r="E1" s="89"/>
      <c r="F1" s="89"/>
      <c r="G1" s="89"/>
      <c r="H1" s="89"/>
      <c r="I1" s="89"/>
    </row>
    <row r="2" spans="1:9" ht="18" customHeight="1" x14ac:dyDescent="0.35">
      <c r="A2" s="90" t="s">
        <v>340</v>
      </c>
      <c r="B2" s="90"/>
      <c r="C2" s="90"/>
      <c r="D2" s="90"/>
      <c r="E2" s="90"/>
      <c r="F2" s="90"/>
      <c r="G2" s="90"/>
      <c r="H2" s="90"/>
      <c r="I2" s="90"/>
    </row>
    <row r="3" spans="1:9" ht="25.5" customHeight="1" x14ac:dyDescent="0.35">
      <c r="B3" s="92" t="s">
        <v>341</v>
      </c>
      <c r="C3" s="92"/>
      <c r="D3" s="92"/>
      <c r="E3" s="92"/>
      <c r="F3" s="92"/>
      <c r="G3" s="92"/>
      <c r="H3" s="92"/>
    </row>
    <row r="4" spans="1:9" ht="30" customHeight="1" x14ac:dyDescent="0.35">
      <c r="B4" s="20" t="s">
        <v>26</v>
      </c>
      <c r="C4" s="20" t="s">
        <v>342</v>
      </c>
      <c r="D4" s="20" t="s">
        <v>343</v>
      </c>
      <c r="E4" s="20" t="s">
        <v>344</v>
      </c>
      <c r="F4" s="20" t="s">
        <v>345</v>
      </c>
      <c r="G4" s="20" t="s">
        <v>346</v>
      </c>
      <c r="H4" s="20" t="s">
        <v>347</v>
      </c>
    </row>
    <row r="5" spans="1:9" x14ac:dyDescent="0.35">
      <c r="B5" s="43" t="s">
        <v>38</v>
      </c>
      <c r="C5" s="22">
        <f>COUNTIF('Loan Book'!P2:P51,B5)</f>
        <v>7</v>
      </c>
      <c r="D5" s="22">
        <f>SUMIF('Loan Book'!P2:P51,B5,'Loan Book'!F2:F51)</f>
        <v>1475000</v>
      </c>
      <c r="E5" s="22">
        <f>SUMIF('Loan Book'!P2:P51,B5,'Loan Book'!L2:L51)</f>
        <v>353000</v>
      </c>
      <c r="F5" s="22">
        <f>COUNTIFS('Loan Book'!P2:P51,B5,'Loan Book'!N2:N51,"Delinquent")</f>
        <v>1</v>
      </c>
      <c r="G5" s="23" cm="1">
        <f t="array" ref="G5">IFERROR(SUMPRODUCT(('Loan Book'!P2:P51=B5)*('Loan Book'!M2:M51&gt;30)*'Loan Book'!L2:L51)/E5,0)</f>
        <v>0.27762039660056659</v>
      </c>
      <c r="H5" s="51" t="str">
        <f>IF(G5&lt;0.05,"Excellent",IF(G5&lt;0.1,"Good",IF(G5&lt;0.2,"Needs Improvement","Critical")))</f>
        <v>Critical</v>
      </c>
    </row>
    <row r="6" spans="1:9" x14ac:dyDescent="0.35">
      <c r="B6" s="46" t="s">
        <v>48</v>
      </c>
      <c r="C6" s="26">
        <f>COUNTIF('Loan Book'!P2:P51,B6)</f>
        <v>7</v>
      </c>
      <c r="D6" s="26">
        <f>SUMIF('Loan Book'!P2:P51,B6,'Loan Book'!F2:F51)</f>
        <v>1450000</v>
      </c>
      <c r="E6" s="26">
        <f>SUMIF('Loan Book'!P2:P51,B6,'Loan Book'!L2:L51)</f>
        <v>461000</v>
      </c>
      <c r="F6" s="26">
        <f>COUNTIFS('Loan Book'!P2:P51,B6,'Loan Book'!N2:N51,"Delinquent")</f>
        <v>2</v>
      </c>
      <c r="G6" s="27">
        <f>IFERROR(SUMPRODUCT(('Loan Book'!P2:P51=B6)*('Loan Book'!M2:M51&gt;30)*'Loan Book'!L2:L51)/E6,0)</f>
        <v>0.37527114967462039</v>
      </c>
      <c r="H6" s="52" t="str">
        <f t="shared" ref="H6:H12" si="0">IF(G6&lt;0.05,"Excellent",IF(G6&lt;0.1,"Good",IF(G6&lt;0.2,"Needs Improvement","Critical")))</f>
        <v>Critical</v>
      </c>
    </row>
    <row r="7" spans="1:9" x14ac:dyDescent="0.35">
      <c r="B7" s="43" t="s">
        <v>58</v>
      </c>
      <c r="C7" s="22">
        <f>COUNTIF('Loan Book'!P2:P51,B7)</f>
        <v>6</v>
      </c>
      <c r="D7" s="22">
        <f>SUMIF('Loan Book'!P2:P51,B7,'Loan Book'!F2:F51)</f>
        <v>2175000</v>
      </c>
      <c r="E7" s="22">
        <f>SUMIF('Loan Book'!P2:P51,B7,'Loan Book'!L2:L51)</f>
        <v>1200000</v>
      </c>
      <c r="F7" s="22">
        <f>COUNTIFS('Loan Book'!P2:P51,B7,'Loan Book'!N2:N51,"Delinquent")</f>
        <v>2</v>
      </c>
      <c r="G7" s="23">
        <f>IFERROR(SUMPRODUCT(('Loan Book'!P2:P51=B7)*('Loan Book'!M2:M51&gt;30)*'Loan Book'!L2:L51)/E7,0)</f>
        <v>0.75249999999999995</v>
      </c>
      <c r="H7" s="51" t="str">
        <f t="shared" si="0"/>
        <v>Critical</v>
      </c>
    </row>
    <row r="8" spans="1:9" x14ac:dyDescent="0.35">
      <c r="B8" s="46" t="s">
        <v>67</v>
      </c>
      <c r="C8" s="26">
        <f>COUNTIF('Loan Book'!P2:P51,B8)</f>
        <v>6</v>
      </c>
      <c r="D8" s="26">
        <f>SUMIF('Loan Book'!P2:P51,B8,'Loan Book'!F2:F51)</f>
        <v>1000000</v>
      </c>
      <c r="E8" s="26">
        <f>SUMIF('Loan Book'!P2:P51,B8,'Loan Book'!L2:L51)</f>
        <v>330000</v>
      </c>
      <c r="F8" s="26">
        <f>COUNTIFS('Loan Book'!P2:P51,B8,'Loan Book'!N2:N51,"Delinquent")</f>
        <v>1</v>
      </c>
      <c r="G8" s="27">
        <f>IFERROR(SUMPRODUCT(('Loan Book'!P2:P51=B8)*('Loan Book'!M2:M51&gt;30)*'Loan Book'!L2:L51)/E8,0)</f>
        <v>0.39393939393939392</v>
      </c>
      <c r="H8" s="52" t="str">
        <f t="shared" si="0"/>
        <v>Critical</v>
      </c>
    </row>
    <row r="9" spans="1:9" x14ac:dyDescent="0.35">
      <c r="B9" s="43" t="s">
        <v>76</v>
      </c>
      <c r="C9" s="22">
        <f>COUNTIF('Loan Book'!P2:P51,B9)</f>
        <v>6</v>
      </c>
      <c r="D9" s="22">
        <f>SUMIF('Loan Book'!P2:P51,B9,'Loan Book'!F2:F51)</f>
        <v>1125000</v>
      </c>
      <c r="E9" s="22">
        <f>SUMIF('Loan Book'!P2:P51,B9,'Loan Book'!L2:L51)</f>
        <v>530000</v>
      </c>
      <c r="F9" s="22">
        <f>COUNTIFS('Loan Book'!P2:P51,B9,'Loan Book'!N2:N51,"Delinquent")</f>
        <v>1</v>
      </c>
      <c r="G9" s="23">
        <f>IFERROR(SUMPRODUCT(('Loan Book'!P2:P51=B9)*('Loan Book'!M2:M51&gt;30)*'Loan Book'!L2:L51)/E9,0)</f>
        <v>7.1698113207547168E-2</v>
      </c>
      <c r="H9" s="51" t="str">
        <f>IF(G9&lt;0.05,"Excellent",IF(G9&lt;0.1,"Good",IF(G9&lt;0.2,"Needs Improvement","Critical")))</f>
        <v>Good</v>
      </c>
    </row>
    <row r="10" spans="1:9" x14ac:dyDescent="0.35">
      <c r="B10" s="46" t="s">
        <v>85</v>
      </c>
      <c r="C10" s="26">
        <f>COUNTIF('Loan Book'!P2:P51,B10)</f>
        <v>6</v>
      </c>
      <c r="D10" s="26">
        <f>SUMIF('Loan Book'!P2:P51,B10,'Loan Book'!F2:F51)</f>
        <v>1725000</v>
      </c>
      <c r="E10" s="26">
        <f>SUMIF('Loan Book'!P2:P51,B10,'Loan Book'!L2:L51)</f>
        <v>1256000</v>
      </c>
      <c r="F10" s="26">
        <f>COUNTIFS('Loan Book'!P2:P51,B10,'Loan Book'!N2:N51,"Delinquent")</f>
        <v>4</v>
      </c>
      <c r="G10" s="27">
        <f>IFERROR(SUMPRODUCT(('Loan Book'!P2:P51=B10)*('Loan Book'!M2:M51&gt;30)*'Loan Book'!L2:L51)/E10,0)</f>
        <v>0.39649681528662423</v>
      </c>
      <c r="H10" s="52" t="str">
        <f t="shared" si="0"/>
        <v>Critical</v>
      </c>
    </row>
    <row r="11" spans="1:9" x14ac:dyDescent="0.35">
      <c r="B11" s="43" t="s">
        <v>94</v>
      </c>
      <c r="C11" s="22">
        <f>COUNTIF('Loan Book'!P2:P51,B11)</f>
        <v>6</v>
      </c>
      <c r="D11" s="22">
        <f>SUMIF('Loan Book'!P2:P51,B11,'Loan Book'!F2:F51)</f>
        <v>1875000</v>
      </c>
      <c r="E11" s="22">
        <f>SUMIF('Loan Book'!P2:P51,B11,'Loan Book'!L2:L51)</f>
        <v>435000</v>
      </c>
      <c r="F11" s="22">
        <f>COUNTIFS('Loan Book'!P2:P51,B11,'Loan Book'!N2:N51,"Delinquent")</f>
        <v>1</v>
      </c>
      <c r="G11" s="23">
        <f>IFERROR(SUMPRODUCT(('Loan Book'!P2:P51=B11)*('Loan Book'!M2:M51&gt;30)*'Loan Book'!L2:L51)/E11,0)</f>
        <v>0.34482758620689657</v>
      </c>
      <c r="H11" s="51" t="str">
        <f t="shared" si="0"/>
        <v>Critical</v>
      </c>
    </row>
    <row r="12" spans="1:9" x14ac:dyDescent="0.35">
      <c r="B12" s="46" t="s">
        <v>102</v>
      </c>
      <c r="C12" s="26">
        <f>COUNTIF('Loan Book'!P2:P51,B12)</f>
        <v>6</v>
      </c>
      <c r="D12" s="26">
        <f>SUMIF('Loan Book'!P2:P51,B12,'Loan Book'!F2:F51)</f>
        <v>1925000</v>
      </c>
      <c r="E12" s="26">
        <f>SUMIF('Loan Book'!P2:P51,B12,'Loan Book'!L2:L51)</f>
        <v>1353000</v>
      </c>
      <c r="F12" s="26">
        <f>COUNTIFS('Loan Book'!P2:P51,B12,'Loan Book'!N2:N51,"Delinquent")</f>
        <v>2</v>
      </c>
      <c r="G12" s="27">
        <f>IFERROR(SUMPRODUCT(('Loan Book'!P2:P51=B12)*('Loan Book'!M2:M51&gt;30)*'Loan Book'!L2:L51)/E12,0)</f>
        <v>0.47597930524759791</v>
      </c>
      <c r="H12" s="52" t="str">
        <f t="shared" si="0"/>
        <v>Critical</v>
      </c>
    </row>
    <row r="13" spans="1:9" x14ac:dyDescent="0.35">
      <c r="B13" s="53" t="s">
        <v>348</v>
      </c>
      <c r="C13" s="33">
        <f>SUM(C5:C12)</f>
        <v>50</v>
      </c>
      <c r="D13" s="33">
        <f>SUM(D5:D12)</f>
        <v>12750000</v>
      </c>
      <c r="E13" s="33">
        <f>SUM(E5:E12)</f>
        <v>5918000</v>
      </c>
      <c r="F13" s="33">
        <f>SUM(F5:F12)</f>
        <v>14</v>
      </c>
      <c r="G13" s="34">
        <f>IFERROR(SUMPRODUCT(('Loan Book'!M2:M51&gt;30)*'Loan Book'!L2:L51)/SUM('Loan Book'!L2:L51),0)</f>
        <v>0.44508279824264957</v>
      </c>
      <c r="H13" s="32"/>
    </row>
    <row r="15" spans="1:9" ht="19.5" customHeight="1" x14ac:dyDescent="0.35">
      <c r="B15" s="88" t="s">
        <v>349</v>
      </c>
      <c r="C15" s="88"/>
      <c r="D15" s="88"/>
      <c r="E15" s="88"/>
      <c r="F15" s="88"/>
      <c r="G15" s="88"/>
      <c r="H15" s="88"/>
    </row>
    <row r="16" spans="1:9" ht="18" customHeight="1" x14ac:dyDescent="0.35">
      <c r="B16" s="49" t="s">
        <v>350</v>
      </c>
      <c r="C16" s="54" t="s">
        <v>351</v>
      </c>
      <c r="D16" s="55"/>
      <c r="E16" s="55"/>
      <c r="F16" s="55"/>
      <c r="G16" s="55"/>
      <c r="H16" s="55"/>
    </row>
    <row r="17" spans="2:8" ht="18" customHeight="1" x14ac:dyDescent="0.35">
      <c r="B17" s="56" t="s">
        <v>352</v>
      </c>
      <c r="C17" s="57" t="s">
        <v>353</v>
      </c>
      <c r="D17" s="58"/>
      <c r="E17" s="58"/>
      <c r="F17" s="58"/>
      <c r="G17" s="58"/>
      <c r="H17" s="58"/>
    </row>
    <row r="18" spans="2:8" ht="18" customHeight="1" x14ac:dyDescent="0.35">
      <c r="B18" s="59" t="s">
        <v>354</v>
      </c>
      <c r="C18" s="60" t="s">
        <v>355</v>
      </c>
      <c r="D18" s="61"/>
      <c r="E18" s="61"/>
      <c r="F18" s="61"/>
      <c r="G18" s="61"/>
      <c r="H18" s="61"/>
    </row>
    <row r="19" spans="2:8" ht="18" customHeight="1" x14ac:dyDescent="0.35">
      <c r="B19" s="62" t="s">
        <v>356</v>
      </c>
      <c r="C19" s="63" t="s">
        <v>357</v>
      </c>
      <c r="D19" s="64"/>
      <c r="E19" s="64"/>
      <c r="F19" s="64"/>
      <c r="G19" s="64"/>
      <c r="H19" s="64"/>
    </row>
  </sheetData>
  <mergeCells count="4">
    <mergeCell ref="A1:I1"/>
    <mergeCell ref="A2:I2"/>
    <mergeCell ref="B3:H3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17A65"/>
  </sheetPr>
  <dimension ref="A1:G32"/>
  <sheetViews>
    <sheetView showGridLines="0" zoomScaleNormal="100" workbookViewId="0">
      <selection activeCell="D11" sqref="D11"/>
    </sheetView>
  </sheetViews>
  <sheetFormatPr defaultColWidth="8.6328125" defaultRowHeight="14.5" x14ac:dyDescent="0.35"/>
  <cols>
    <col min="1" max="1" width="3" customWidth="1"/>
    <col min="2" max="2" width="26" customWidth="1"/>
    <col min="3" max="6" width="22" customWidth="1"/>
    <col min="7" max="7" width="3" customWidth="1"/>
  </cols>
  <sheetData>
    <row r="1" spans="1:7" ht="28" customHeight="1" x14ac:dyDescent="0.35">
      <c r="A1" s="89" t="s">
        <v>273</v>
      </c>
      <c r="B1" s="89"/>
      <c r="C1" s="89"/>
      <c r="D1" s="89"/>
      <c r="E1" s="89"/>
      <c r="F1" s="89"/>
      <c r="G1" s="89"/>
    </row>
    <row r="2" spans="1:7" ht="18" customHeight="1" x14ac:dyDescent="0.35">
      <c r="A2" s="90" t="s">
        <v>274</v>
      </c>
      <c r="B2" s="90"/>
      <c r="C2" s="90"/>
      <c r="D2" s="90"/>
      <c r="E2" s="90"/>
      <c r="F2" s="90"/>
      <c r="G2" s="90"/>
    </row>
    <row r="3" spans="1:7" ht="6" customHeight="1" x14ac:dyDescent="0.35"/>
    <row r="4" spans="1:7" ht="16.5" customHeight="1" x14ac:dyDescent="0.35">
      <c r="B4" s="94" t="s">
        <v>275</v>
      </c>
      <c r="C4" s="94"/>
      <c r="D4" s="94"/>
      <c r="E4" s="94"/>
      <c r="F4" s="94"/>
      <c r="G4" s="94"/>
    </row>
    <row r="5" spans="1:7" ht="14" customHeight="1" x14ac:dyDescent="0.35">
      <c r="B5" s="13" t="s">
        <v>276</v>
      </c>
      <c r="C5" s="14">
        <f>COUNTA('Loan Book'!A2:A51)</f>
        <v>50</v>
      </c>
    </row>
    <row r="6" spans="1:7" ht="13.5" customHeight="1" x14ac:dyDescent="0.35">
      <c r="B6" s="15" t="s">
        <v>277</v>
      </c>
      <c r="C6" s="14">
        <f>SUM('Loan Book'!F2:F51)</f>
        <v>12750000</v>
      </c>
    </row>
    <row r="7" spans="1:7" ht="12.5" customHeight="1" x14ac:dyDescent="0.35">
      <c r="B7" s="13" t="s">
        <v>278</v>
      </c>
      <c r="C7" s="14">
        <f>SUM('Loan Book'!L2:L51)</f>
        <v>5918000</v>
      </c>
    </row>
    <row r="8" spans="1:7" ht="17.5" customHeight="1" x14ac:dyDescent="0.35">
      <c r="B8" s="15" t="s">
        <v>279</v>
      </c>
      <c r="C8" s="16">
        <f>COUNTIF('Loan Book'!N2:N51,"Active")</f>
        <v>22</v>
      </c>
    </row>
    <row r="9" spans="1:7" ht="17.5" customHeight="1" x14ac:dyDescent="0.35">
      <c r="B9" s="13" t="s">
        <v>280</v>
      </c>
      <c r="C9" s="17">
        <f>COUNTIF('Loan Book'!N2:N51,"Delinquent")</f>
        <v>14</v>
      </c>
    </row>
    <row r="10" spans="1:7" ht="17.5" customHeight="1" x14ac:dyDescent="0.35">
      <c r="B10" s="15" t="s">
        <v>281</v>
      </c>
      <c r="C10" s="17">
        <f>COUNTIF('Loan Book'!N2:N51,"Written Off")</f>
        <v>4</v>
      </c>
    </row>
    <row r="11" spans="1:7" ht="17.5" customHeight="1" x14ac:dyDescent="0.35">
      <c r="B11" s="13" t="s">
        <v>282</v>
      </c>
      <c r="C11" s="18">
        <f>IFERROR(SUMPRODUCT(('Loan Book'!M2:M51&gt;30)*'Loan Book'!L2:L51)/SUM('Loan Book'!L2:L51),0)</f>
        <v>0.44508279824264957</v>
      </c>
    </row>
    <row r="12" spans="1:7" ht="17.5" customHeight="1" x14ac:dyDescent="0.35">
      <c r="B12" s="15" t="s">
        <v>283</v>
      </c>
      <c r="C12" s="14">
        <f>IFERROR(SUM('Loan Book'!F2:F51)/COUNTA('Loan Book'!A2:A51),0)</f>
        <v>255000</v>
      </c>
    </row>
    <row r="13" spans="1:7" ht="17.5" customHeight="1" x14ac:dyDescent="0.35">
      <c r="B13" s="13" t="s">
        <v>284</v>
      </c>
      <c r="C13" s="19">
        <f>AVERAGE('Loan Book'!J2:J51)</f>
        <v>0.18817999999999993</v>
      </c>
    </row>
    <row r="14" spans="1:7" ht="17.5" customHeight="1" x14ac:dyDescent="0.35">
      <c r="B14" s="15" t="s">
        <v>285</v>
      </c>
      <c r="C14" s="14">
        <f>COUNTA('Officer Performance'!A4:A11)</f>
        <v>0</v>
      </c>
    </row>
    <row r="15" spans="1:7" ht="17.5" customHeight="1" x14ac:dyDescent="0.35">
      <c r="B15" s="13" t="s">
        <v>286</v>
      </c>
      <c r="C15" s="14">
        <f>COUNTA('Portfolio Summary'!A22:A29)</f>
        <v>0</v>
      </c>
    </row>
    <row r="16" spans="1:7" ht="17.5" customHeight="1" x14ac:dyDescent="0.35">
      <c r="B16" s="15" t="s">
        <v>287</v>
      </c>
      <c r="C16" s="14">
        <f>COUNTA('Portfolio Summary'!A10:A17)</f>
        <v>0</v>
      </c>
    </row>
    <row r="17" spans="2:7" ht="9" customHeight="1" x14ac:dyDescent="0.35"/>
    <row r="18" spans="2:7" ht="25.5" customHeight="1" x14ac:dyDescent="0.35">
      <c r="B18" s="94" t="s">
        <v>379</v>
      </c>
      <c r="C18" s="94"/>
      <c r="D18" s="94"/>
      <c r="E18" s="94"/>
      <c r="F18" s="94"/>
      <c r="G18" s="94"/>
    </row>
    <row r="19" spans="2:7" ht="21.75" customHeight="1" x14ac:dyDescent="0.35">
      <c r="B19" s="101" t="s">
        <v>288</v>
      </c>
      <c r="C19" s="101"/>
      <c r="D19" s="101"/>
      <c r="E19" s="101"/>
      <c r="F19" s="101"/>
      <c r="G19" s="101"/>
    </row>
    <row r="20" spans="2:7" ht="39" customHeight="1" x14ac:dyDescent="0.35">
      <c r="B20" s="97" t="s">
        <v>289</v>
      </c>
      <c r="C20" s="97"/>
      <c r="D20" s="97"/>
      <c r="E20" s="97"/>
      <c r="F20" s="97"/>
      <c r="G20" s="97"/>
    </row>
    <row r="21" spans="2:7" ht="5" customHeight="1" x14ac:dyDescent="0.35"/>
    <row r="22" spans="2:7" ht="21.75" customHeight="1" x14ac:dyDescent="0.35">
      <c r="B22" s="99" t="s">
        <v>290</v>
      </c>
      <c r="C22" s="99"/>
      <c r="D22" s="99"/>
      <c r="E22" s="99"/>
      <c r="F22" s="99"/>
      <c r="G22" s="99"/>
    </row>
    <row r="23" spans="2:7" ht="32.5" customHeight="1" x14ac:dyDescent="0.35">
      <c r="B23" s="97" t="s">
        <v>291</v>
      </c>
      <c r="C23" s="97"/>
      <c r="D23" s="97"/>
      <c r="E23" s="97"/>
      <c r="F23" s="97"/>
      <c r="G23" s="97"/>
    </row>
    <row r="24" spans="2:7" ht="6.5" customHeight="1" x14ac:dyDescent="0.35"/>
    <row r="25" spans="2:7" ht="21.75" customHeight="1" x14ac:dyDescent="0.35">
      <c r="B25" s="100" t="s">
        <v>292</v>
      </c>
      <c r="C25" s="100"/>
      <c r="D25" s="100"/>
      <c r="E25" s="100"/>
      <c r="F25" s="100"/>
      <c r="G25" s="100"/>
    </row>
    <row r="26" spans="2:7" ht="29.5" customHeight="1" x14ac:dyDescent="0.35">
      <c r="B26" s="97" t="s">
        <v>293</v>
      </c>
      <c r="C26" s="97"/>
      <c r="D26" s="97"/>
      <c r="E26" s="97"/>
      <c r="F26" s="97"/>
      <c r="G26" s="97"/>
    </row>
    <row r="27" spans="2:7" ht="3.5" customHeight="1" x14ac:dyDescent="0.35"/>
    <row r="28" spans="2:7" ht="19" customHeight="1" x14ac:dyDescent="0.35">
      <c r="B28" s="96" t="s">
        <v>294</v>
      </c>
      <c r="C28" s="96"/>
      <c r="D28" s="96"/>
      <c r="E28" s="96"/>
      <c r="F28" s="96"/>
      <c r="G28" s="96"/>
    </row>
    <row r="29" spans="2:7" ht="42.5" customHeight="1" x14ac:dyDescent="0.35">
      <c r="B29" s="97" t="s">
        <v>295</v>
      </c>
      <c r="C29" s="97"/>
      <c r="D29" s="97"/>
      <c r="E29" s="97"/>
      <c r="F29" s="97"/>
      <c r="G29" s="97"/>
    </row>
    <row r="30" spans="2:7" ht="5" customHeight="1" x14ac:dyDescent="0.35"/>
    <row r="31" spans="2:7" ht="21.75" customHeight="1" x14ac:dyDescent="0.35">
      <c r="B31" s="98" t="s">
        <v>296</v>
      </c>
      <c r="C31" s="98"/>
      <c r="D31" s="98"/>
      <c r="E31" s="98"/>
      <c r="F31" s="98"/>
      <c r="G31" s="98"/>
    </row>
    <row r="32" spans="2:7" ht="69" customHeight="1" x14ac:dyDescent="0.35">
      <c r="B32" s="97" t="s">
        <v>297</v>
      </c>
      <c r="C32" s="97"/>
      <c r="D32" s="97"/>
      <c r="E32" s="97"/>
      <c r="F32" s="97"/>
      <c r="G32" s="97"/>
    </row>
  </sheetData>
  <mergeCells count="14">
    <mergeCell ref="A1:G1"/>
    <mergeCell ref="A2:G2"/>
    <mergeCell ref="B4:G4"/>
    <mergeCell ref="B18:G18"/>
    <mergeCell ref="B19:G19"/>
    <mergeCell ref="B28:G28"/>
    <mergeCell ref="B29:G29"/>
    <mergeCell ref="B31:G31"/>
    <mergeCell ref="B32:G32"/>
    <mergeCell ref="B20:G20"/>
    <mergeCell ref="B22:G22"/>
    <mergeCell ref="B23:G23"/>
    <mergeCell ref="B25:G25"/>
    <mergeCell ref="B26:G2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C3483"/>
  </sheetPr>
  <dimension ref="A1:AB45"/>
  <sheetViews>
    <sheetView showGridLines="0" showRowColHeaders="0" tabSelected="1" zoomScaleNormal="100" workbookViewId="0">
      <selection activeCell="B36" sqref="B36:D43"/>
    </sheetView>
  </sheetViews>
  <sheetFormatPr defaultColWidth="8.6328125" defaultRowHeight="14.5" x14ac:dyDescent="0.35"/>
  <cols>
    <col min="1" max="1" width="1.7265625" customWidth="1"/>
    <col min="2" max="2" width="18.26953125" customWidth="1"/>
    <col min="3" max="3" width="2.7265625" customWidth="1"/>
    <col min="4" max="4" width="18" customWidth="1"/>
    <col min="5" max="9" width="4" customWidth="1"/>
    <col min="10" max="10" width="7.7265625" customWidth="1"/>
    <col min="11" max="18" width="4" customWidth="1"/>
    <col min="23" max="23" width="1.90625" customWidth="1"/>
    <col min="26" max="26" width="8.90625" customWidth="1"/>
    <col min="28" max="28" width="8.6328125" style="69"/>
  </cols>
  <sheetData>
    <row r="1" spans="1:28" ht="25.5" customHeight="1" x14ac:dyDescent="0.35">
      <c r="A1" s="102" t="s">
        <v>370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</row>
    <row r="2" spans="1:28" ht="18" customHeight="1" x14ac:dyDescent="0.35">
      <c r="A2" s="107" t="s">
        <v>378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80"/>
    </row>
    <row r="3" spans="1:28" ht="6.5" customHeight="1" x14ac:dyDescent="0.3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3"/>
      <c r="AA3" s="83"/>
    </row>
    <row r="4" spans="1:28" s="69" customFormat="1" ht="18" customHeight="1" x14ac:dyDescent="0.35">
      <c r="A4" s="70"/>
      <c r="B4" s="71" t="s">
        <v>375</v>
      </c>
      <c r="C4" s="73"/>
      <c r="D4" s="71" t="s">
        <v>374</v>
      </c>
      <c r="F4" s="103" t="s">
        <v>373</v>
      </c>
      <c r="G4" s="103"/>
      <c r="H4" s="103"/>
      <c r="I4" s="103"/>
      <c r="J4" s="103"/>
      <c r="K4" s="74"/>
      <c r="L4" s="103" t="s">
        <v>372</v>
      </c>
      <c r="M4" s="103"/>
      <c r="N4" s="103"/>
      <c r="O4" s="103"/>
      <c r="P4" s="103"/>
      <c r="Q4" s="103"/>
      <c r="R4" s="70"/>
      <c r="S4" s="76"/>
      <c r="T4" s="103" t="s">
        <v>371</v>
      </c>
      <c r="U4" s="103"/>
      <c r="V4" s="103"/>
      <c r="W4" s="72"/>
      <c r="X4" s="76"/>
      <c r="Y4" s="103" t="s">
        <v>377</v>
      </c>
      <c r="Z4" s="103"/>
      <c r="AA4" s="103"/>
    </row>
    <row r="5" spans="1:28" s="69" customFormat="1" ht="18" customHeight="1" x14ac:dyDescent="0.35">
      <c r="A5" s="70"/>
      <c r="B5" s="108">
        <f>'Executive Summary'!C5</f>
        <v>50</v>
      </c>
      <c r="C5" s="73"/>
      <c r="D5" s="110">
        <f>'Executive Summary'!C6</f>
        <v>12750000</v>
      </c>
      <c r="F5" s="111">
        <f>'Executive Summary'!C13</f>
        <v>0.18817999999999993</v>
      </c>
      <c r="G5" s="111"/>
      <c r="H5" s="111"/>
      <c r="I5" s="111"/>
      <c r="J5" s="111"/>
      <c r="K5" s="74"/>
      <c r="L5" s="104" t="str">
        <f>INDEX('Officer Performance'!B5:B12,MATCH(MAX('Officer Performance'!D5:D12),'Officer Performance'!D5:D12,0))</f>
        <v>A. Wanjiku</v>
      </c>
      <c r="M5" s="104"/>
      <c r="N5" s="104"/>
      <c r="O5" s="104"/>
      <c r="P5" s="104"/>
      <c r="Q5" s="104"/>
      <c r="R5" s="104"/>
      <c r="S5" s="76"/>
      <c r="T5" s="104" t="str">
        <f>INDEX('Officer Performance'!B5:B12,MATCH(MIN('Officer Performance'!D5:D12),'Officer Performance'!D5:D12,0))</f>
        <v>P. Kimani</v>
      </c>
      <c r="U5" s="104"/>
      <c r="V5" s="104"/>
      <c r="W5" s="82"/>
      <c r="X5" s="76"/>
      <c r="Y5" s="104" t="str">
        <f>INDEX(B36:B43,MATCH(MAX(D36:D43),D36:D43,0))</f>
        <v>A. Wanjiku</v>
      </c>
      <c r="Z5" s="104"/>
      <c r="AA5" s="104"/>
    </row>
    <row r="6" spans="1:28" ht="18" customHeight="1" x14ac:dyDescent="0.35">
      <c r="B6" s="109"/>
      <c r="D6" s="110"/>
      <c r="F6" s="111"/>
      <c r="G6" s="111"/>
      <c r="H6" s="111"/>
      <c r="I6" s="111"/>
      <c r="J6" s="111"/>
      <c r="L6" s="104"/>
      <c r="M6" s="104"/>
      <c r="N6" s="104"/>
      <c r="O6" s="104"/>
      <c r="P6" s="104"/>
      <c r="Q6" s="104"/>
      <c r="R6" s="104"/>
      <c r="T6" s="104"/>
      <c r="U6" s="104"/>
      <c r="V6" s="104"/>
      <c r="W6" s="82"/>
      <c r="Y6" s="104"/>
      <c r="Z6" s="104"/>
      <c r="AA6" s="104"/>
    </row>
    <row r="7" spans="1:28" s="81" customFormat="1" ht="6" customHeight="1" x14ac:dyDescent="0.35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69"/>
    </row>
    <row r="8" spans="1:28" x14ac:dyDescent="0.35">
      <c r="B8" s="105" t="s">
        <v>366</v>
      </c>
      <c r="C8" s="106"/>
      <c r="D8" s="106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</row>
    <row r="9" spans="1:28" x14ac:dyDescent="0.35">
      <c r="B9" s="32" t="s">
        <v>24</v>
      </c>
      <c r="C9" s="32"/>
      <c r="D9" s="77" t="s">
        <v>365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28" x14ac:dyDescent="0.35">
      <c r="B10" s="65" t="s">
        <v>140</v>
      </c>
      <c r="C10" s="65"/>
      <c r="D10" s="66">
        <f>COUNTIF('Loan Book'!N2:N51,"Written Off")</f>
        <v>4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</row>
    <row r="11" spans="1:28" x14ac:dyDescent="0.35">
      <c r="B11" s="65" t="s">
        <v>36</v>
      </c>
      <c r="C11" s="65"/>
      <c r="D11" s="66">
        <f>COUNTIF('Loan Book'!N2:N51,"Closed")</f>
        <v>10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</row>
    <row r="12" spans="1:28" x14ac:dyDescent="0.35">
      <c r="B12" s="65" t="s">
        <v>84</v>
      </c>
      <c r="C12" s="65"/>
      <c r="D12" s="66">
        <f>COUNTIF('Loan Book'!N2:N51,"Delinquent")</f>
        <v>14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</row>
    <row r="13" spans="1:28" x14ac:dyDescent="0.35">
      <c r="B13" s="65" t="s">
        <v>57</v>
      </c>
      <c r="C13" s="65"/>
      <c r="D13" s="66">
        <f>COUNTIF('Loan Book'!N2:N51,"Active")</f>
        <v>22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1:28" x14ac:dyDescent="0.35"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28" x14ac:dyDescent="0.35">
      <c r="B15" s="105" t="s">
        <v>367</v>
      </c>
      <c r="C15" s="106"/>
      <c r="D15" s="106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</row>
    <row r="16" spans="1:28" x14ac:dyDescent="0.35">
      <c r="B16" s="32" t="s">
        <v>14</v>
      </c>
      <c r="C16" s="32"/>
      <c r="D16" s="32" t="s">
        <v>303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</row>
    <row r="17" spans="2:27" x14ac:dyDescent="0.35">
      <c r="B17" s="65" t="s">
        <v>63</v>
      </c>
      <c r="C17" s="65"/>
      <c r="D17" s="66">
        <f>SUMIF('Loan Book'!D2:D51,"Education",'Loan Book'!L2:L51)</f>
        <v>330000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</row>
    <row r="18" spans="2:27" x14ac:dyDescent="0.35">
      <c r="B18" s="65" t="s">
        <v>32</v>
      </c>
      <c r="C18" s="65"/>
      <c r="D18" s="66">
        <f>SUMIF('Loan Book'!D2:D51,"Agriculture",'Loan Book'!L2:L51)</f>
        <v>353000</v>
      </c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</row>
    <row r="19" spans="2:27" x14ac:dyDescent="0.35">
      <c r="B19" s="65" t="s">
        <v>90</v>
      </c>
      <c r="C19" s="65"/>
      <c r="D19" s="66">
        <f>SUMIF('Loan Book'!D2:D51,"Transport",'Loan Book'!L2:L51)</f>
        <v>435000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</row>
    <row r="20" spans="2:27" x14ac:dyDescent="0.35">
      <c r="B20" s="65" t="s">
        <v>43</v>
      </c>
      <c r="C20" s="65"/>
      <c r="D20" s="66">
        <f>SUMIF('Loan Book'!D2:D51,"Trade &amp; Commerce",'Loan Book'!L2:L51)</f>
        <v>461000</v>
      </c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</row>
    <row r="21" spans="2:27" x14ac:dyDescent="0.35">
      <c r="B21" s="65" t="s">
        <v>72</v>
      </c>
      <c r="C21" s="65"/>
      <c r="D21" s="66">
        <f>SUMIF('Loan Book'!D2:D51,"Health",'Loan Book'!L2:L51)</f>
        <v>530000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2:27" x14ac:dyDescent="0.35">
      <c r="B22" s="65" t="s">
        <v>53</v>
      </c>
      <c r="C22" s="65"/>
      <c r="D22" s="66">
        <f>SUMIF('Loan Book'!D2:D51,"Manufacturing",'Loan Book'!L2:L51)</f>
        <v>1200000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2:27" x14ac:dyDescent="0.35">
      <c r="B23" s="65" t="s">
        <v>81</v>
      </c>
      <c r="C23" s="65"/>
      <c r="D23" s="66">
        <f>SUMIF('Loan Book'!D2:D51,"Real Estate",'Loan Book'!L2:L51)</f>
        <v>1256000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2:27" x14ac:dyDescent="0.35">
      <c r="B24" s="65" t="s">
        <v>99</v>
      </c>
      <c r="C24" s="65"/>
      <c r="D24" s="66">
        <f>SUMIF('Loan Book'!D2:D51,"Personal",'Loan Book'!L2:L51)</f>
        <v>1353000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</row>
    <row r="25" spans="2:27" x14ac:dyDescent="0.35"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spans="2:27" x14ac:dyDescent="0.35">
      <c r="B26" s="105" t="s">
        <v>368</v>
      </c>
      <c r="C26" s="106"/>
      <c r="D26" s="106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</row>
    <row r="27" spans="2:27" x14ac:dyDescent="0.35">
      <c r="B27" s="32" t="s">
        <v>358</v>
      </c>
      <c r="C27" s="32"/>
      <c r="D27" s="32" t="s">
        <v>303</v>
      </c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</row>
    <row r="28" spans="2:27" x14ac:dyDescent="0.35">
      <c r="B28" s="65" t="s">
        <v>359</v>
      </c>
      <c r="C28" s="65"/>
      <c r="D28" s="66">
        <f>SUMIF('Loan Book'!M2:M51,0,'Loan Book'!L2:L51)</f>
        <v>3284000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spans="2:27" x14ac:dyDescent="0.35">
      <c r="B29" s="65" t="s">
        <v>360</v>
      </c>
      <c r="C29" s="65"/>
      <c r="D29" s="66">
        <f>SUMPRODUCT(('Loan Book'!M2:M51&gt;0)*('Loan Book'!M2:M51&lt;=30)*'Loan Book'!L2:L51)</f>
        <v>0</v>
      </c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2:27" x14ac:dyDescent="0.35">
      <c r="B30" s="65" t="s">
        <v>361</v>
      </c>
      <c r="C30" s="65"/>
      <c r="D30" s="66">
        <f>SUMPRODUCT(('Loan Book'!M2:M51&gt;30)*('Loan Book'!M2:M51&lt;=60)*'Loan Book'!L2:L51)</f>
        <v>0</v>
      </c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spans="2:27" x14ac:dyDescent="0.35">
      <c r="B31" s="65" t="s">
        <v>362</v>
      </c>
      <c r="C31" s="65"/>
      <c r="D31" s="66">
        <f>SUMPRODUCT(('Loan Book'!M2:M51&gt;60)*('Loan Book'!M2:M51&lt;=90)*'Loan Book'!L2:L51)</f>
        <v>120000</v>
      </c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2:27" x14ac:dyDescent="0.35">
      <c r="B32" s="65" t="s">
        <v>363</v>
      </c>
      <c r="C32" s="65"/>
      <c r="D32" s="66">
        <f>SUMPRODUCT(('Loan Book'!M2:M51&gt;90)*'Loan Book'!L2:L51)</f>
        <v>2514000</v>
      </c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spans="1:27" x14ac:dyDescent="0.35"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  <row r="34" spans="1:27" x14ac:dyDescent="0.35">
      <c r="B34" s="105" t="s">
        <v>369</v>
      </c>
      <c r="C34" s="106"/>
      <c r="D34" s="106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</row>
    <row r="35" spans="1:27" x14ac:dyDescent="0.35">
      <c r="B35" s="32" t="s">
        <v>26</v>
      </c>
      <c r="C35" s="32"/>
      <c r="D35" s="32" t="s">
        <v>364</v>
      </c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  <row r="36" spans="1:27" x14ac:dyDescent="0.35">
      <c r="B36" s="65" t="s">
        <v>76</v>
      </c>
      <c r="C36" s="65"/>
      <c r="D36" s="67">
        <f>IFERROR(SUMPRODUCT(('Loan Book'!P2:P51="S. Mutua")*('Loan Book'!M2:M51&gt;30)*'Loan Book'!L2:L51)/SUMIF('Loan Book'!P2:P51,"S. Mutua",'Loan Book'!L2:L51),0)</f>
        <v>7.1698113207547168E-2</v>
      </c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</row>
    <row r="37" spans="1:27" x14ac:dyDescent="0.35">
      <c r="B37" s="65" t="s">
        <v>38</v>
      </c>
      <c r="C37" s="65"/>
      <c r="D37" s="67" cm="1">
        <f t="array" ref="D37">IFERROR(SUMPRODUCT(('Loan Book'!P2:P51="J. Kariuki")*('Loan Book'!M2:M51&gt;30)*'Loan Book'!L2:L51)/SUMIF('Loan Book'!P2:P51,"J. Kariuki",'Loan Book'!L2:L51),0)</f>
        <v>0.27762039660056659</v>
      </c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</row>
    <row r="38" spans="1:27" x14ac:dyDescent="0.35">
      <c r="B38" s="65" t="s">
        <v>94</v>
      </c>
      <c r="C38" s="65"/>
      <c r="D38" s="67">
        <f>IFERROR(SUMPRODUCT(('Loan Book'!P2:P51="R. Njenga")*('Loan Book'!M2:M51&gt;30)*'Loan Book'!L2:L51)/SUMIF('Loan Book'!P2:P51,"R. Njenga",'Loan Book'!L2:L51),0)</f>
        <v>0.34482758620689657</v>
      </c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</row>
    <row r="39" spans="1:27" x14ac:dyDescent="0.35">
      <c r="B39" s="65" t="s">
        <v>48</v>
      </c>
      <c r="C39" s="65"/>
      <c r="D39" s="67">
        <f>IFERROR(SUMPRODUCT(('Loan Book'!P2:P51="M. Otieno")*('Loan Book'!M2:M51&gt;30)*'Loan Book'!L2:L51)/SUMIF('Loan Book'!P2:P51,"M. Otieno",'Loan Book'!L2:L51),0)</f>
        <v>0.37527114967462039</v>
      </c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</row>
    <row r="40" spans="1:27" x14ac:dyDescent="0.35">
      <c r="B40" s="65" t="s">
        <v>67</v>
      </c>
      <c r="C40" s="65"/>
      <c r="D40" s="67">
        <f>IFERROR(SUMPRODUCT(('Loan Book'!P2:P51="P. Kimani")*('Loan Book'!M2:M51&gt;30)*'Loan Book'!L2:L51)/SUMIF('Loan Book'!P2:P51,"P. Kimani",'Loan Book'!L2:L51),0)</f>
        <v>0.39393939393939392</v>
      </c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 spans="1:27" x14ac:dyDescent="0.35">
      <c r="B41" s="65" t="s">
        <v>85</v>
      </c>
      <c r="C41" s="65"/>
      <c r="D41" s="67">
        <f>IFERROR(SUMPRODUCT(('Loan Book'!P2:P51="L. Odhiambo")*('Loan Book'!M2:M51&gt;30)*'Loan Book'!L2:L51)/SUMIF('Loan Book'!P2:P51,"L. Odhiambo",'Loan Book'!L2:L51),0)</f>
        <v>0.39649681528662423</v>
      </c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</row>
    <row r="42" spans="1:27" x14ac:dyDescent="0.35">
      <c r="B42" s="65" t="s">
        <v>102</v>
      </c>
      <c r="C42" s="65"/>
      <c r="D42" s="67">
        <f>IFERROR(SUMPRODUCT(('Loan Book'!P2:P51="T. Chelimo")*('Loan Book'!M2:M51&gt;30)*'Loan Book'!L2:L51)/SUMIF('Loan Book'!P2:P51,"T. Chelimo",'Loan Book'!L2:L51),0)</f>
        <v>0.47597930524759791</v>
      </c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</row>
    <row r="43" spans="1:27" x14ac:dyDescent="0.35">
      <c r="B43" s="65" t="s">
        <v>58</v>
      </c>
      <c r="C43" s="65"/>
      <c r="D43" s="67">
        <f>IFERROR(SUMPRODUCT(('Loan Book'!P2:P51="A. Wanjiku")*('Loan Book'!M2:M51&gt;30)*'Loan Book'!L2:L51)/SUMIF('Loan Book'!P2:P51,"A. Wanjiku",'Loan Book'!L2:L51),0)</f>
        <v>0.75249999999999995</v>
      </c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</row>
    <row r="45" spans="1:27" x14ac:dyDescent="0.35">
      <c r="A45" s="78"/>
      <c r="B45" s="79"/>
      <c r="C45" s="79"/>
      <c r="D45" s="79"/>
      <c r="E45" s="79"/>
      <c r="F45" s="79"/>
      <c r="G45" s="79"/>
      <c r="H45" s="79"/>
      <c r="I45" s="79"/>
      <c r="J45" s="79"/>
      <c r="K45" s="79"/>
    </row>
  </sheetData>
  <sortState xmlns:xlrd2="http://schemas.microsoft.com/office/spreadsheetml/2017/richdata2" ref="B36:D43">
    <sortCondition ref="D36:D43"/>
  </sortState>
  <mergeCells count="16">
    <mergeCell ref="B34:D34"/>
    <mergeCell ref="A2:Z2"/>
    <mergeCell ref="B8:D8"/>
    <mergeCell ref="L4:Q4"/>
    <mergeCell ref="B5:B6"/>
    <mergeCell ref="D5:D6"/>
    <mergeCell ref="F5:J6"/>
    <mergeCell ref="L5:R6"/>
    <mergeCell ref="F4:J4"/>
    <mergeCell ref="T4:V4"/>
    <mergeCell ref="T5:V6"/>
    <mergeCell ref="A1:AA1"/>
    <mergeCell ref="Y4:AA4"/>
    <mergeCell ref="Y5:AA6"/>
    <mergeCell ref="B15:D15"/>
    <mergeCell ref="B26:D26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Business Problem</vt:lpstr>
      <vt:lpstr>Loan Book</vt:lpstr>
      <vt:lpstr>Portfolio Summary</vt:lpstr>
      <vt:lpstr>Officer Performance</vt:lpstr>
      <vt:lpstr>Executive Summary</vt:lpstr>
      <vt:lpstr>Charts &amp; Visuals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ben bena</cp:lastModifiedBy>
  <cp:revision>1</cp:revision>
  <dcterms:created xsi:type="dcterms:W3CDTF">2026-06-22T08:10:56Z</dcterms:created>
  <dcterms:modified xsi:type="dcterms:W3CDTF">2026-06-23T08:00:31Z</dcterms:modified>
  <dc:language>en-US</dc:language>
</cp:coreProperties>
</file>